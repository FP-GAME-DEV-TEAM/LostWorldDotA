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20" windowWidth="18180" windowHeight="9060" activeTab="5"/>
  </bookViews>
  <sheets>
    <sheet name="护甲计算" sheetId="3" r:id="rId1"/>
    <sheet name="英雄经验" sheetId="4" r:id="rId2"/>
    <sheet name="区域设定" sheetId="7" r:id="rId3"/>
    <sheet name="怪物设定" sheetId="5" r:id="rId4"/>
    <sheet name="BOSS设定" sheetId="6" r:id="rId5"/>
    <sheet name="怪物点坐标" sheetId="8" r:id="rId6"/>
  </sheets>
  <calcPr calcId="125725"/>
</workbook>
</file>

<file path=xl/calcChain.xml><?xml version="1.0" encoding="utf-8"?>
<calcChain xmlns="http://schemas.openxmlformats.org/spreadsheetml/2006/main">
  <c r="E2" i="8"/>
  <c r="E3"/>
  <c r="E4" s="1"/>
  <c r="E5" s="1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2"/>
  <c r="C3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2"/>
  <c r="I3" i="4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2"/>
  <c r="D2"/>
  <c r="D3"/>
  <c r="D4" s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J21" s="1"/>
  <c r="E2"/>
  <c r="E3" s="1"/>
  <c r="E4" s="1"/>
  <c r="E5" s="1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B2"/>
  <c r="C2" s="1"/>
  <c r="D2" i="3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1"/>
  <c r="C6"/>
  <c r="C2"/>
  <c r="C3"/>
  <c r="C4"/>
  <c r="C5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"/>
  <c r="J17" i="4" l="1"/>
  <c r="J18"/>
  <c r="J15"/>
  <c r="J16"/>
  <c r="J2"/>
  <c r="J19"/>
  <c r="J3"/>
  <c r="J20"/>
  <c r="J12"/>
  <c r="J8"/>
  <c r="J4"/>
  <c r="D22"/>
  <c r="D23" s="1"/>
  <c r="J13"/>
  <c r="J6"/>
  <c r="J9"/>
  <c r="J5"/>
  <c r="J14"/>
  <c r="J11"/>
  <c r="J7"/>
  <c r="J10"/>
  <c r="B3"/>
  <c r="D24" l="1"/>
  <c r="J23"/>
  <c r="J22"/>
  <c r="B4"/>
  <c r="C3"/>
  <c r="D25" l="1"/>
  <c r="J24"/>
  <c r="B5"/>
  <c r="C4"/>
  <c r="D26" l="1"/>
  <c r="J25"/>
  <c r="B6"/>
  <c r="C5"/>
  <c r="D27" l="1"/>
  <c r="J26"/>
  <c r="B7"/>
  <c r="C6"/>
  <c r="D28" l="1"/>
  <c r="J27"/>
  <c r="B8"/>
  <c r="C7"/>
  <c r="D29" l="1"/>
  <c r="J28"/>
  <c r="B9"/>
  <c r="C8"/>
  <c r="D30" l="1"/>
  <c r="J29"/>
  <c r="B10"/>
  <c r="C9"/>
  <c r="D31" l="1"/>
  <c r="J30"/>
  <c r="B11"/>
  <c r="C10"/>
  <c r="D32" l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J31"/>
  <c r="B12"/>
  <c r="C11"/>
  <c r="B13" l="1"/>
  <c r="C12"/>
  <c r="B14" l="1"/>
  <c r="C13"/>
  <c r="B15" l="1"/>
  <c r="C14"/>
  <c r="B16" l="1"/>
  <c r="C15"/>
  <c r="B17" l="1"/>
  <c r="C16"/>
  <c r="B18" l="1"/>
  <c r="C17"/>
  <c r="B19" l="1"/>
  <c r="C18"/>
  <c r="B20" l="1"/>
  <c r="C19"/>
  <c r="B21" l="1"/>
  <c r="C20"/>
  <c r="B22" l="1"/>
  <c r="C21"/>
  <c r="B23" l="1"/>
  <c r="C22"/>
  <c r="B24" l="1"/>
  <c r="C23"/>
  <c r="B25" l="1"/>
  <c r="C24"/>
  <c r="B26" l="1"/>
  <c r="C25"/>
  <c r="B27" l="1"/>
  <c r="C26"/>
  <c r="B28" l="1"/>
  <c r="C27"/>
  <c r="B29" l="1"/>
  <c r="C29" s="1"/>
  <c r="C28"/>
  <c r="B30" l="1"/>
  <c r="C30" s="1"/>
  <c r="B31" l="1"/>
  <c r="C31" s="1"/>
  <c r="B32" l="1"/>
  <c r="C32" s="1"/>
  <c r="B33" l="1"/>
  <c r="C33" s="1"/>
  <c r="B34" l="1"/>
  <c r="C34" s="1"/>
  <c r="B35" l="1"/>
  <c r="B36" l="1"/>
  <c r="C35"/>
  <c r="B37" l="1"/>
  <c r="C37" s="1"/>
  <c r="C36"/>
  <c r="B38" l="1"/>
  <c r="C38" s="1"/>
  <c r="B39" l="1"/>
  <c r="C39" s="1"/>
  <c r="B40" l="1"/>
  <c r="C40" s="1"/>
  <c r="B41" l="1"/>
  <c r="C41" s="1"/>
  <c r="B42" l="1"/>
  <c r="C42" s="1"/>
  <c r="B43" l="1"/>
  <c r="C43" s="1"/>
  <c r="B44" l="1"/>
  <c r="B45" l="1"/>
  <c r="C44"/>
  <c r="B46" l="1"/>
  <c r="C45"/>
  <c r="B47" l="1"/>
  <c r="C46"/>
  <c r="B48" l="1"/>
  <c r="C47"/>
  <c r="B49" l="1"/>
  <c r="C48"/>
  <c r="B50" l="1"/>
  <c r="C50" s="1"/>
  <c r="C49"/>
</calcChain>
</file>

<file path=xl/sharedStrings.xml><?xml version="1.0" encoding="utf-8"?>
<sst xmlns="http://schemas.openxmlformats.org/spreadsheetml/2006/main" count="142" uniqueCount="117">
  <si>
    <t>需求量</t>
    <phoneticPr fontId="1" type="noConversion"/>
  </si>
  <si>
    <t>绝对值</t>
    <phoneticPr fontId="1" type="noConversion"/>
  </si>
  <si>
    <t>怪物</t>
    <phoneticPr fontId="1" type="noConversion"/>
  </si>
  <si>
    <t>等级</t>
    <phoneticPr fontId="1" type="noConversion"/>
  </si>
  <si>
    <t>英雄</t>
    <phoneticPr fontId="1" type="noConversion"/>
  </si>
  <si>
    <t>单位提供</t>
    <phoneticPr fontId="1" type="noConversion"/>
  </si>
  <si>
    <t>英雄提供</t>
    <phoneticPr fontId="1" type="noConversion"/>
  </si>
  <si>
    <t>英雄需求</t>
    <phoneticPr fontId="1" type="noConversion"/>
  </si>
  <si>
    <t>怪物实际</t>
    <phoneticPr fontId="1" type="noConversion"/>
  </si>
  <si>
    <t>衰减系数</t>
    <phoneticPr fontId="1" type="noConversion"/>
  </si>
  <si>
    <t>名字</t>
    <phoneticPr fontId="1" type="noConversion"/>
  </si>
  <si>
    <t>区域</t>
    <phoneticPr fontId="1" type="noConversion"/>
  </si>
  <si>
    <t>类型</t>
    <phoneticPr fontId="1" type="noConversion"/>
  </si>
  <si>
    <t>生命值</t>
    <phoneticPr fontId="1" type="noConversion"/>
  </si>
  <si>
    <t>魔法值</t>
    <phoneticPr fontId="1" type="noConversion"/>
  </si>
  <si>
    <t>攻击力</t>
    <phoneticPr fontId="1" type="noConversion"/>
  </si>
  <si>
    <t>护甲</t>
    <phoneticPr fontId="1" type="noConversion"/>
  </si>
  <si>
    <t>技能</t>
    <phoneticPr fontId="1" type="noConversion"/>
  </si>
  <si>
    <t>说明</t>
    <phoneticPr fontId="1" type="noConversion"/>
  </si>
  <si>
    <t>魔法森林</t>
    <phoneticPr fontId="1" type="noConversion"/>
  </si>
  <si>
    <t>狗头人</t>
    <phoneticPr fontId="1" type="noConversion"/>
  </si>
  <si>
    <t>金牙监工</t>
    <phoneticPr fontId="1" type="noConversion"/>
  </si>
  <si>
    <t>脏鬼杜克</t>
    <phoneticPr fontId="1" type="noConversion"/>
  </si>
  <si>
    <t>荣耀城</t>
    <phoneticPr fontId="1" type="noConversion"/>
  </si>
  <si>
    <t>强盗</t>
    <phoneticPr fontId="1" type="noConversion"/>
  </si>
  <si>
    <t>重击、震荡波、召唤同伙</t>
    <phoneticPr fontId="1" type="noConversion"/>
  </si>
  <si>
    <t>狡猾的比尔</t>
    <phoneticPr fontId="1" type="noConversion"/>
  </si>
  <si>
    <t>死亡矿洞</t>
    <phoneticPr fontId="1" type="noConversion"/>
  </si>
  <si>
    <t>莱恩男爵</t>
  </si>
  <si>
    <t>利爪队长</t>
  </si>
  <si>
    <t>豺狼人</t>
    <phoneticPr fontId="1" type="noConversion"/>
  </si>
  <si>
    <t>魔法森林</t>
    <phoneticPr fontId="1" type="noConversion"/>
  </si>
  <si>
    <t>人类法师</t>
    <phoneticPr fontId="1" type="noConversion"/>
  </si>
  <si>
    <t>断牙</t>
    <phoneticPr fontId="1" type="noConversion"/>
  </si>
  <si>
    <t>狼</t>
    <phoneticPr fontId="1" type="noConversion"/>
  </si>
  <si>
    <t>主索引</t>
    <phoneticPr fontId="1" type="noConversion"/>
  </si>
  <si>
    <t>子索引</t>
    <phoneticPr fontId="1" type="noConversion"/>
  </si>
  <si>
    <t>批注</t>
    <phoneticPr fontId="1" type="noConversion"/>
  </si>
  <si>
    <t>子索引个数</t>
    <phoneticPr fontId="1" type="noConversion"/>
  </si>
  <si>
    <t>野兽</t>
    <phoneticPr fontId="1" type="noConversion"/>
  </si>
  <si>
    <t>亡灵</t>
    <phoneticPr fontId="1" type="noConversion"/>
  </si>
  <si>
    <t>恶魔</t>
    <phoneticPr fontId="1" type="noConversion"/>
  </si>
  <si>
    <t>元素生物</t>
    <phoneticPr fontId="1" type="noConversion"/>
  </si>
  <si>
    <t>巨人</t>
    <phoneticPr fontId="1" type="noConversion"/>
  </si>
  <si>
    <t>龙类</t>
    <phoneticPr fontId="1" type="noConversion"/>
  </si>
  <si>
    <t>其它</t>
    <phoneticPr fontId="1" type="noConversion"/>
  </si>
  <si>
    <t>未分类</t>
    <phoneticPr fontId="1" type="noConversion"/>
  </si>
  <si>
    <t>说明</t>
    <phoneticPr fontId="1" type="noConversion"/>
  </si>
  <si>
    <t>人类</t>
    <phoneticPr fontId="1" type="noConversion"/>
  </si>
  <si>
    <t>人型生物</t>
  </si>
  <si>
    <t>狗头人</t>
    <phoneticPr fontId="1" type="noConversion"/>
  </si>
  <si>
    <t>豺狼人</t>
    <phoneticPr fontId="1" type="noConversion"/>
  </si>
  <si>
    <t>测试单位</t>
    <phoneticPr fontId="1" type="noConversion"/>
  </si>
  <si>
    <t>巨魔</t>
    <phoneticPr fontId="1" type="noConversion"/>
  </si>
  <si>
    <t>食人魔</t>
    <phoneticPr fontId="1" type="noConversion"/>
  </si>
  <si>
    <t>鱼人</t>
    <phoneticPr fontId="1" type="noConversion"/>
  </si>
  <si>
    <t>半人马</t>
    <phoneticPr fontId="1" type="noConversion"/>
  </si>
  <si>
    <t>野猪人</t>
    <phoneticPr fontId="1" type="noConversion"/>
  </si>
  <si>
    <t>鹰身人</t>
    <phoneticPr fontId="1" type="noConversion"/>
  </si>
  <si>
    <t>海象族</t>
    <phoneticPr fontId="1" type="noConversion"/>
  </si>
  <si>
    <t>狼</t>
    <phoneticPr fontId="1" type="noConversion"/>
  </si>
  <si>
    <t>蜘蛛</t>
    <phoneticPr fontId="1" type="noConversion"/>
  </si>
  <si>
    <t>蝎子</t>
    <phoneticPr fontId="1" type="noConversion"/>
  </si>
  <si>
    <t>熊</t>
    <phoneticPr fontId="1" type="noConversion"/>
  </si>
  <si>
    <t>枭兽</t>
    <phoneticPr fontId="1" type="noConversion"/>
  </si>
  <si>
    <t>猪</t>
    <phoneticPr fontId="1" type="noConversion"/>
  </si>
  <si>
    <t>熊怪</t>
    <phoneticPr fontId="1" type="noConversion"/>
  </si>
  <si>
    <t>蜥蜴</t>
    <phoneticPr fontId="1" type="noConversion"/>
  </si>
  <si>
    <t>螃蟹</t>
    <phoneticPr fontId="1" type="noConversion"/>
  </si>
  <si>
    <t>乌龟</t>
    <phoneticPr fontId="1" type="noConversion"/>
  </si>
  <si>
    <t>骷髅</t>
    <phoneticPr fontId="1" type="noConversion"/>
  </si>
  <si>
    <t>僵尸</t>
    <phoneticPr fontId="1" type="noConversion"/>
  </si>
  <si>
    <t>猛犸</t>
    <phoneticPr fontId="1" type="noConversion"/>
  </si>
  <si>
    <t>恶鬼</t>
    <phoneticPr fontId="1" type="noConversion"/>
  </si>
  <si>
    <t>幽魂</t>
    <phoneticPr fontId="1" type="noConversion"/>
  </si>
  <si>
    <t>生化物</t>
    <phoneticPr fontId="1" type="noConversion"/>
  </si>
  <si>
    <t>甲虫</t>
    <phoneticPr fontId="1" type="noConversion"/>
  </si>
  <si>
    <t>魅魔</t>
    <phoneticPr fontId="1" type="noConversion"/>
  </si>
  <si>
    <t>地狱犬</t>
    <phoneticPr fontId="1" type="noConversion"/>
  </si>
  <si>
    <t>艾瑞达</t>
    <phoneticPr fontId="1" type="noConversion"/>
  </si>
  <si>
    <t>守卫恶魔</t>
    <phoneticPr fontId="1" type="noConversion"/>
  </si>
  <si>
    <t>元素恶魔</t>
    <phoneticPr fontId="1" type="noConversion"/>
  </si>
  <si>
    <t>无面者</t>
    <phoneticPr fontId="1" type="noConversion"/>
  </si>
  <si>
    <t>树人</t>
    <phoneticPr fontId="1" type="noConversion"/>
  </si>
  <si>
    <t>机甲恶魔</t>
    <phoneticPr fontId="1" type="noConversion"/>
  </si>
  <si>
    <t>地属性</t>
    <phoneticPr fontId="1" type="noConversion"/>
  </si>
  <si>
    <t>金属</t>
    <phoneticPr fontId="1" type="noConversion"/>
  </si>
  <si>
    <t>水属性</t>
    <phoneticPr fontId="1" type="noConversion"/>
  </si>
  <si>
    <t>火属性</t>
    <phoneticPr fontId="1" type="noConversion"/>
  </si>
  <si>
    <t>风属性</t>
    <phoneticPr fontId="1" type="noConversion"/>
  </si>
  <si>
    <t>光属性</t>
    <phoneticPr fontId="1" type="noConversion"/>
  </si>
  <si>
    <t>暗属性</t>
    <phoneticPr fontId="1" type="noConversion"/>
  </si>
  <si>
    <t>丛林巨怪</t>
    <phoneticPr fontId="1" type="noConversion"/>
  </si>
  <si>
    <t>龙系恶魔</t>
    <phoneticPr fontId="1" type="noConversion"/>
  </si>
  <si>
    <t>雪人巨怪</t>
    <phoneticPr fontId="1" type="noConversion"/>
  </si>
  <si>
    <t>龙人</t>
    <phoneticPr fontId="1" type="noConversion"/>
  </si>
  <si>
    <t>红龙</t>
    <phoneticPr fontId="1" type="noConversion"/>
  </si>
  <si>
    <t>蓝龙</t>
    <phoneticPr fontId="1" type="noConversion"/>
  </si>
  <si>
    <t>青龙</t>
    <phoneticPr fontId="1" type="noConversion"/>
  </si>
  <si>
    <t>绿龙</t>
    <phoneticPr fontId="1" type="noConversion"/>
  </si>
  <si>
    <t>黑龙</t>
    <phoneticPr fontId="1" type="noConversion"/>
  </si>
  <si>
    <t>海洋巨怪</t>
    <phoneticPr fontId="1" type="noConversion"/>
  </si>
  <si>
    <t>龙系亡灵</t>
    <phoneticPr fontId="1" type="noConversion"/>
  </si>
  <si>
    <t>特殊单位</t>
    <phoneticPr fontId="1" type="noConversion"/>
  </si>
  <si>
    <t>人型BOSS</t>
    <phoneticPr fontId="1" type="noConversion"/>
  </si>
  <si>
    <t>野兽BOSS</t>
    <phoneticPr fontId="1" type="noConversion"/>
  </si>
  <si>
    <t>亡灵BOSS</t>
    <phoneticPr fontId="1" type="noConversion"/>
  </si>
  <si>
    <t>恶魔BOSS</t>
    <phoneticPr fontId="1" type="noConversion"/>
  </si>
  <si>
    <t>元素BOSS</t>
    <phoneticPr fontId="1" type="noConversion"/>
  </si>
  <si>
    <t>巨人BOSS</t>
    <phoneticPr fontId="1" type="noConversion"/>
  </si>
  <si>
    <t>龙系BOSS</t>
    <phoneticPr fontId="1" type="noConversion"/>
  </si>
  <si>
    <t>其他BOSS</t>
    <phoneticPr fontId="1" type="noConversion"/>
  </si>
  <si>
    <t>当前时间</t>
    <phoneticPr fontId="1" type="noConversion"/>
  </si>
  <si>
    <t>天数</t>
    <phoneticPr fontId="1" type="noConversion"/>
  </si>
  <si>
    <t>下次充能收益</t>
    <phoneticPr fontId="1" type="noConversion"/>
  </si>
  <si>
    <t>当天充能次数</t>
    <phoneticPr fontId="1" type="noConversion"/>
  </si>
  <si>
    <t>充能次数（偏大）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</si>
</sst>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3">
    <font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00"/>
  <sheetViews>
    <sheetView workbookViewId="0">
      <selection activeCell="F22" sqref="F22"/>
    </sheetView>
  </sheetViews>
  <sheetFormatPr defaultRowHeight="14.25"/>
  <sheetData>
    <row r="1" spans="1:5">
      <c r="A1">
        <v>0.04</v>
      </c>
      <c r="B1">
        <v>1</v>
      </c>
      <c r="C1" s="1">
        <f>(B1*$A$1)/(1+B1*$A$1)</f>
        <v>3.8461538461538464E-2</v>
      </c>
      <c r="D1">
        <f>((B1-1)*$E$2+$E$1)*0.1-1</f>
        <v>1</v>
      </c>
      <c r="E1">
        <v>20</v>
      </c>
    </row>
    <row r="2" spans="1:5">
      <c r="B2">
        <v>2</v>
      </c>
      <c r="C2" s="1">
        <f t="shared" ref="C2:C65" si="0">(B2*$A$1)/(1+B2*$A$1)</f>
        <v>7.407407407407407E-2</v>
      </c>
      <c r="D2">
        <f t="shared" ref="D2:D30" si="1">((B2-1)*$E$2+$E$1)*0.1-1</f>
        <v>1.3000000000000003</v>
      </c>
      <c r="E2">
        <v>3</v>
      </c>
    </row>
    <row r="3" spans="1:5">
      <c r="B3">
        <v>3</v>
      </c>
      <c r="C3" s="1">
        <f t="shared" si="0"/>
        <v>0.10714285714285712</v>
      </c>
      <c r="D3">
        <f t="shared" si="1"/>
        <v>1.6</v>
      </c>
    </row>
    <row r="4" spans="1:5">
      <c r="B4">
        <v>4</v>
      </c>
      <c r="C4" s="1">
        <f t="shared" si="0"/>
        <v>0.13793103448275865</v>
      </c>
      <c r="D4">
        <f t="shared" si="1"/>
        <v>1.9000000000000004</v>
      </c>
    </row>
    <row r="5" spans="1:5">
      <c r="B5">
        <v>5</v>
      </c>
      <c r="C5" s="1">
        <f t="shared" si="0"/>
        <v>0.16666666666666669</v>
      </c>
      <c r="D5">
        <f t="shared" si="1"/>
        <v>2.2000000000000002</v>
      </c>
    </row>
    <row r="6" spans="1:5">
      <c r="B6">
        <v>6</v>
      </c>
      <c r="C6" s="1">
        <f>(B6*$A$1)/(1+B6*$A$1)</f>
        <v>0.19354838709677419</v>
      </c>
      <c r="D6">
        <f t="shared" si="1"/>
        <v>2.5</v>
      </c>
    </row>
    <row r="7" spans="1:5">
      <c r="B7">
        <v>7</v>
      </c>
      <c r="C7" s="1">
        <f t="shared" si="0"/>
        <v>0.21875000000000003</v>
      </c>
      <c r="D7">
        <f t="shared" si="1"/>
        <v>2.8000000000000003</v>
      </c>
    </row>
    <row r="8" spans="1:5">
      <c r="B8">
        <v>8</v>
      </c>
      <c r="C8" s="1">
        <f t="shared" si="0"/>
        <v>0.24242424242424243</v>
      </c>
      <c r="D8">
        <f t="shared" si="1"/>
        <v>3.1000000000000005</v>
      </c>
    </row>
    <row r="9" spans="1:5">
      <c r="B9">
        <v>9</v>
      </c>
      <c r="C9" s="1">
        <f t="shared" si="0"/>
        <v>0.26470588235294118</v>
      </c>
      <c r="D9">
        <f t="shared" si="1"/>
        <v>3.4000000000000004</v>
      </c>
    </row>
    <row r="10" spans="1:5">
      <c r="B10">
        <v>10</v>
      </c>
      <c r="C10" s="1">
        <f t="shared" si="0"/>
        <v>0.28571428571428575</v>
      </c>
      <c r="D10">
        <f t="shared" si="1"/>
        <v>3.7</v>
      </c>
    </row>
    <row r="11" spans="1:5">
      <c r="B11">
        <v>11</v>
      </c>
      <c r="C11" s="1">
        <f t="shared" si="0"/>
        <v>0.30555555555555558</v>
      </c>
      <c r="D11">
        <f t="shared" si="1"/>
        <v>4</v>
      </c>
    </row>
    <row r="12" spans="1:5">
      <c r="B12">
        <v>12</v>
      </c>
      <c r="C12" s="1">
        <f t="shared" si="0"/>
        <v>0.32432432432432434</v>
      </c>
      <c r="D12">
        <f t="shared" si="1"/>
        <v>4.3000000000000007</v>
      </c>
    </row>
    <row r="13" spans="1:5">
      <c r="B13">
        <v>13</v>
      </c>
      <c r="C13" s="1">
        <f t="shared" si="0"/>
        <v>0.34210526315789475</v>
      </c>
      <c r="D13">
        <f t="shared" si="1"/>
        <v>4.6000000000000005</v>
      </c>
    </row>
    <row r="14" spans="1:5">
      <c r="B14">
        <v>14</v>
      </c>
      <c r="C14" s="1">
        <f t="shared" si="0"/>
        <v>0.35897435897435898</v>
      </c>
      <c r="D14">
        <f t="shared" si="1"/>
        <v>4.9000000000000004</v>
      </c>
    </row>
    <row r="15" spans="1:5">
      <c r="B15">
        <v>15</v>
      </c>
      <c r="C15" s="1">
        <f t="shared" si="0"/>
        <v>0.37499999999999994</v>
      </c>
      <c r="D15">
        <f t="shared" si="1"/>
        <v>5.2</v>
      </c>
    </row>
    <row r="16" spans="1:5">
      <c r="B16">
        <v>16</v>
      </c>
      <c r="C16" s="1">
        <f t="shared" si="0"/>
        <v>0.39024390243902435</v>
      </c>
      <c r="D16">
        <f t="shared" si="1"/>
        <v>5.5</v>
      </c>
    </row>
    <row r="17" spans="2:4">
      <c r="B17">
        <v>17</v>
      </c>
      <c r="C17" s="1">
        <f t="shared" si="0"/>
        <v>0.40476190476190477</v>
      </c>
      <c r="D17">
        <f t="shared" si="1"/>
        <v>5.8000000000000007</v>
      </c>
    </row>
    <row r="18" spans="2:4">
      <c r="B18">
        <v>18</v>
      </c>
      <c r="C18" s="1">
        <f t="shared" si="0"/>
        <v>0.41860465116279066</v>
      </c>
      <c r="D18">
        <f t="shared" si="1"/>
        <v>6.1000000000000005</v>
      </c>
    </row>
    <row r="19" spans="2:4">
      <c r="B19">
        <v>19</v>
      </c>
      <c r="C19" s="1">
        <f t="shared" si="0"/>
        <v>0.43181818181818182</v>
      </c>
      <c r="D19">
        <f t="shared" si="1"/>
        <v>6.4</v>
      </c>
    </row>
    <row r="20" spans="2:4">
      <c r="B20">
        <v>20</v>
      </c>
      <c r="C20" s="1">
        <f t="shared" si="0"/>
        <v>0.44444444444444448</v>
      </c>
      <c r="D20">
        <f t="shared" si="1"/>
        <v>6.7</v>
      </c>
    </row>
    <row r="21" spans="2:4">
      <c r="B21">
        <v>21</v>
      </c>
      <c r="C21" s="1">
        <f t="shared" si="0"/>
        <v>0.45652173913043481</v>
      </c>
      <c r="D21">
        <f t="shared" si="1"/>
        <v>7</v>
      </c>
    </row>
    <row r="22" spans="2:4">
      <c r="B22">
        <v>22</v>
      </c>
      <c r="C22" s="1">
        <f t="shared" si="0"/>
        <v>0.46808510638297873</v>
      </c>
      <c r="D22">
        <f t="shared" si="1"/>
        <v>7.3000000000000007</v>
      </c>
    </row>
    <row r="23" spans="2:4">
      <c r="B23">
        <v>23</v>
      </c>
      <c r="C23" s="1">
        <f t="shared" si="0"/>
        <v>0.47916666666666669</v>
      </c>
      <c r="D23">
        <f t="shared" si="1"/>
        <v>7.6</v>
      </c>
    </row>
    <row r="24" spans="2:4">
      <c r="B24">
        <v>24</v>
      </c>
      <c r="C24" s="1">
        <f t="shared" si="0"/>
        <v>0.48979591836734693</v>
      </c>
      <c r="D24">
        <f t="shared" si="1"/>
        <v>7.9</v>
      </c>
    </row>
    <row r="25" spans="2:4">
      <c r="B25">
        <v>25</v>
      </c>
      <c r="C25" s="1">
        <f t="shared" si="0"/>
        <v>0.5</v>
      </c>
      <c r="D25">
        <f t="shared" si="1"/>
        <v>8.2000000000000011</v>
      </c>
    </row>
    <row r="26" spans="2:4">
      <c r="B26">
        <v>26</v>
      </c>
      <c r="C26" s="1">
        <f t="shared" si="0"/>
        <v>0.50980392156862742</v>
      </c>
      <c r="D26">
        <f t="shared" si="1"/>
        <v>8.5</v>
      </c>
    </row>
    <row r="27" spans="2:4">
      <c r="B27">
        <v>27</v>
      </c>
      <c r="C27" s="1">
        <f t="shared" si="0"/>
        <v>0.51923076923076927</v>
      </c>
      <c r="D27">
        <f t="shared" si="1"/>
        <v>8.8000000000000007</v>
      </c>
    </row>
    <row r="28" spans="2:4">
      <c r="B28">
        <v>28</v>
      </c>
      <c r="C28" s="1">
        <f t="shared" si="0"/>
        <v>0.52830188679245282</v>
      </c>
      <c r="D28">
        <f t="shared" si="1"/>
        <v>9.1000000000000014</v>
      </c>
    </row>
    <row r="29" spans="2:4">
      <c r="B29">
        <v>29</v>
      </c>
      <c r="C29" s="1">
        <f t="shared" si="0"/>
        <v>0.53703703703703698</v>
      </c>
      <c r="D29">
        <f t="shared" si="1"/>
        <v>9.4</v>
      </c>
    </row>
    <row r="30" spans="2:4">
      <c r="B30">
        <v>30</v>
      </c>
      <c r="C30" s="1">
        <f t="shared" si="0"/>
        <v>0.54545454545454541</v>
      </c>
      <c r="D30">
        <f t="shared" si="1"/>
        <v>9.7000000000000011</v>
      </c>
    </row>
    <row r="31" spans="2:4">
      <c r="B31">
        <v>31</v>
      </c>
      <c r="C31" s="1">
        <f t="shared" si="0"/>
        <v>0.55357142857142849</v>
      </c>
    </row>
    <row r="32" spans="2:4">
      <c r="B32">
        <v>32</v>
      </c>
      <c r="C32" s="1">
        <f t="shared" si="0"/>
        <v>0.56140350877192979</v>
      </c>
    </row>
    <row r="33" spans="2:3">
      <c r="B33">
        <v>33</v>
      </c>
      <c r="C33" s="1">
        <f t="shared" si="0"/>
        <v>0.56896551724137923</v>
      </c>
    </row>
    <row r="34" spans="2:3">
      <c r="B34">
        <v>34</v>
      </c>
      <c r="C34" s="1">
        <f t="shared" si="0"/>
        <v>0.57627118644067798</v>
      </c>
    </row>
    <row r="35" spans="2:3">
      <c r="B35">
        <v>35</v>
      </c>
      <c r="C35" s="1">
        <f t="shared" si="0"/>
        <v>0.58333333333333326</v>
      </c>
    </row>
    <row r="36" spans="2:3">
      <c r="B36">
        <v>36</v>
      </c>
      <c r="C36" s="1">
        <f t="shared" si="0"/>
        <v>0.5901639344262295</v>
      </c>
    </row>
    <row r="37" spans="2:3">
      <c r="B37">
        <v>37</v>
      </c>
      <c r="C37" s="1">
        <f t="shared" si="0"/>
        <v>0.59677419354838712</v>
      </c>
    </row>
    <row r="38" spans="2:3">
      <c r="B38">
        <v>38</v>
      </c>
      <c r="C38" s="1">
        <f t="shared" si="0"/>
        <v>0.60317460317460314</v>
      </c>
    </row>
    <row r="39" spans="2:3">
      <c r="B39">
        <v>39</v>
      </c>
      <c r="C39" s="1">
        <f t="shared" si="0"/>
        <v>0.609375</v>
      </c>
    </row>
    <row r="40" spans="2:3">
      <c r="B40">
        <v>40</v>
      </c>
      <c r="C40" s="1">
        <f t="shared" si="0"/>
        <v>0.61538461538461542</v>
      </c>
    </row>
    <row r="41" spans="2:3">
      <c r="B41">
        <v>41</v>
      </c>
      <c r="C41" s="1">
        <f t="shared" si="0"/>
        <v>0.62121212121212122</v>
      </c>
    </row>
    <row r="42" spans="2:3">
      <c r="B42">
        <v>42</v>
      </c>
      <c r="C42" s="1">
        <f t="shared" si="0"/>
        <v>0.62686567164179108</v>
      </c>
    </row>
    <row r="43" spans="2:3">
      <c r="B43">
        <v>43</v>
      </c>
      <c r="C43" s="1">
        <f t="shared" si="0"/>
        <v>0.63235294117647067</v>
      </c>
    </row>
    <row r="44" spans="2:3">
      <c r="B44">
        <v>44</v>
      </c>
      <c r="C44" s="1">
        <f t="shared" si="0"/>
        <v>0.63768115942028991</v>
      </c>
    </row>
    <row r="45" spans="2:3">
      <c r="B45">
        <v>45</v>
      </c>
      <c r="C45" s="1">
        <f t="shared" si="0"/>
        <v>0.6428571428571429</v>
      </c>
    </row>
    <row r="46" spans="2:3">
      <c r="B46">
        <v>46</v>
      </c>
      <c r="C46" s="1">
        <f t="shared" si="0"/>
        <v>0.647887323943662</v>
      </c>
    </row>
    <row r="47" spans="2:3">
      <c r="B47">
        <v>47</v>
      </c>
      <c r="C47" s="1">
        <f t="shared" si="0"/>
        <v>0.65277777777777779</v>
      </c>
    </row>
    <row r="48" spans="2:3">
      <c r="B48">
        <v>48</v>
      </c>
      <c r="C48" s="1">
        <f t="shared" si="0"/>
        <v>0.65753424657534243</v>
      </c>
    </row>
    <row r="49" spans="2:3">
      <c r="B49">
        <v>49</v>
      </c>
      <c r="C49" s="1">
        <f t="shared" si="0"/>
        <v>0.66216216216216217</v>
      </c>
    </row>
    <row r="50" spans="2:3">
      <c r="B50">
        <v>50</v>
      </c>
      <c r="C50" s="1">
        <f t="shared" si="0"/>
        <v>0.66666666666666663</v>
      </c>
    </row>
    <row r="51" spans="2:3">
      <c r="B51">
        <v>51</v>
      </c>
      <c r="C51" s="1">
        <f t="shared" si="0"/>
        <v>0.67105263157894735</v>
      </c>
    </row>
    <row r="52" spans="2:3">
      <c r="B52">
        <v>52</v>
      </c>
      <c r="C52" s="1">
        <f t="shared" si="0"/>
        <v>0.67532467532467533</v>
      </c>
    </row>
    <row r="53" spans="2:3">
      <c r="B53">
        <v>53</v>
      </c>
      <c r="C53" s="1">
        <f t="shared" si="0"/>
        <v>0.67948717948717952</v>
      </c>
    </row>
    <row r="54" spans="2:3">
      <c r="B54">
        <v>54</v>
      </c>
      <c r="C54" s="1">
        <f t="shared" si="0"/>
        <v>0.68354430379746833</v>
      </c>
    </row>
    <row r="55" spans="2:3">
      <c r="B55">
        <v>55</v>
      </c>
      <c r="C55" s="1">
        <f t="shared" si="0"/>
        <v>0.6875</v>
      </c>
    </row>
    <row r="56" spans="2:3">
      <c r="B56">
        <v>56</v>
      </c>
      <c r="C56" s="1">
        <f t="shared" si="0"/>
        <v>0.6913580246913581</v>
      </c>
    </row>
    <row r="57" spans="2:3">
      <c r="B57">
        <v>57</v>
      </c>
      <c r="C57" s="1">
        <f t="shared" si="0"/>
        <v>0.69512195121951226</v>
      </c>
    </row>
    <row r="58" spans="2:3">
      <c r="B58">
        <v>58</v>
      </c>
      <c r="C58" s="1">
        <f t="shared" si="0"/>
        <v>0.6987951807228916</v>
      </c>
    </row>
    <row r="59" spans="2:3">
      <c r="B59">
        <v>59</v>
      </c>
      <c r="C59" s="1">
        <f t="shared" si="0"/>
        <v>0.70238095238095233</v>
      </c>
    </row>
    <row r="60" spans="2:3">
      <c r="B60">
        <v>60</v>
      </c>
      <c r="C60" s="1">
        <f t="shared" si="0"/>
        <v>0.70588235294117652</v>
      </c>
    </row>
    <row r="61" spans="2:3">
      <c r="B61">
        <v>61</v>
      </c>
      <c r="C61" s="1">
        <f t="shared" si="0"/>
        <v>0.70930232558139539</v>
      </c>
    </row>
    <row r="62" spans="2:3">
      <c r="B62">
        <v>62</v>
      </c>
      <c r="C62" s="1">
        <f t="shared" si="0"/>
        <v>0.71264367816091956</v>
      </c>
    </row>
    <row r="63" spans="2:3">
      <c r="B63">
        <v>63</v>
      </c>
      <c r="C63" s="1">
        <f t="shared" si="0"/>
        <v>0.71590909090909094</v>
      </c>
    </row>
    <row r="64" spans="2:3">
      <c r="B64">
        <v>64</v>
      </c>
      <c r="C64" s="1">
        <f t="shared" si="0"/>
        <v>0.7191011235955056</v>
      </c>
    </row>
    <row r="65" spans="2:3">
      <c r="B65">
        <v>65</v>
      </c>
      <c r="C65" s="1">
        <f t="shared" si="0"/>
        <v>0.72222222222222221</v>
      </c>
    </row>
    <row r="66" spans="2:3">
      <c r="B66">
        <v>66</v>
      </c>
      <c r="C66" s="1">
        <f t="shared" ref="C66:C100" si="2">(B66*$A$1)/(1+B66*$A$1)</f>
        <v>0.72527472527472525</v>
      </c>
    </row>
    <row r="67" spans="2:3">
      <c r="B67">
        <v>67</v>
      </c>
      <c r="C67" s="1">
        <f t="shared" si="2"/>
        <v>0.72826086956521741</v>
      </c>
    </row>
    <row r="68" spans="2:3">
      <c r="B68">
        <v>68</v>
      </c>
      <c r="C68" s="1">
        <f t="shared" si="2"/>
        <v>0.73118279569892475</v>
      </c>
    </row>
    <row r="69" spans="2:3">
      <c r="B69">
        <v>69</v>
      </c>
      <c r="C69" s="1">
        <f t="shared" si="2"/>
        <v>0.73404255319148937</v>
      </c>
    </row>
    <row r="70" spans="2:3">
      <c r="B70">
        <v>70</v>
      </c>
      <c r="C70" s="1">
        <f t="shared" si="2"/>
        <v>0.73684210526315796</v>
      </c>
    </row>
    <row r="71" spans="2:3">
      <c r="B71">
        <v>71</v>
      </c>
      <c r="C71" s="1">
        <f t="shared" si="2"/>
        <v>0.73958333333333337</v>
      </c>
    </row>
    <row r="72" spans="2:3">
      <c r="B72">
        <v>72</v>
      </c>
      <c r="C72" s="1">
        <f t="shared" si="2"/>
        <v>0.74226804123711343</v>
      </c>
    </row>
    <row r="73" spans="2:3">
      <c r="B73">
        <v>73</v>
      </c>
      <c r="C73" s="1">
        <f t="shared" si="2"/>
        <v>0.74489795918367352</v>
      </c>
    </row>
    <row r="74" spans="2:3">
      <c r="B74">
        <v>74</v>
      </c>
      <c r="C74" s="1">
        <f t="shared" si="2"/>
        <v>0.74747474747474751</v>
      </c>
    </row>
    <row r="75" spans="2:3">
      <c r="B75">
        <v>75</v>
      </c>
      <c r="C75" s="1">
        <f t="shared" si="2"/>
        <v>0.75</v>
      </c>
    </row>
    <row r="76" spans="2:3">
      <c r="B76">
        <v>76</v>
      </c>
      <c r="C76" s="1">
        <f t="shared" si="2"/>
        <v>0.75247524752475248</v>
      </c>
    </row>
    <row r="77" spans="2:3">
      <c r="B77">
        <v>77</v>
      </c>
      <c r="C77" s="1">
        <f t="shared" si="2"/>
        <v>0.75490196078431371</v>
      </c>
    </row>
    <row r="78" spans="2:3">
      <c r="B78">
        <v>78</v>
      </c>
      <c r="C78" s="1">
        <f t="shared" si="2"/>
        <v>0.75728155339805825</v>
      </c>
    </row>
    <row r="79" spans="2:3">
      <c r="B79">
        <v>79</v>
      </c>
      <c r="C79" s="1">
        <f t="shared" si="2"/>
        <v>0.75961538461538458</v>
      </c>
    </row>
    <row r="80" spans="2:3">
      <c r="B80">
        <v>80</v>
      </c>
      <c r="C80" s="1">
        <f t="shared" si="2"/>
        <v>0.76190476190476186</v>
      </c>
    </row>
    <row r="81" spans="2:3">
      <c r="B81">
        <v>81</v>
      </c>
      <c r="C81" s="1">
        <f t="shared" si="2"/>
        <v>0.76415094339622647</v>
      </c>
    </row>
    <row r="82" spans="2:3">
      <c r="B82">
        <v>82</v>
      </c>
      <c r="C82" s="1">
        <f t="shared" si="2"/>
        <v>0.76635514018691586</v>
      </c>
    </row>
    <row r="83" spans="2:3">
      <c r="B83">
        <v>83</v>
      </c>
      <c r="C83" s="1">
        <f t="shared" si="2"/>
        <v>0.76851851851851849</v>
      </c>
    </row>
    <row r="84" spans="2:3">
      <c r="B84">
        <v>84</v>
      </c>
      <c r="C84" s="1">
        <f t="shared" si="2"/>
        <v>0.77064220183486243</v>
      </c>
    </row>
    <row r="85" spans="2:3">
      <c r="B85">
        <v>85</v>
      </c>
      <c r="C85" s="1">
        <f t="shared" si="2"/>
        <v>0.7727272727272726</v>
      </c>
    </row>
    <row r="86" spans="2:3">
      <c r="B86">
        <v>86</v>
      </c>
      <c r="C86" s="1">
        <f t="shared" si="2"/>
        <v>0.77477477477477485</v>
      </c>
    </row>
    <row r="87" spans="2:3">
      <c r="B87">
        <v>87</v>
      </c>
      <c r="C87" s="1">
        <f t="shared" si="2"/>
        <v>0.77678571428571419</v>
      </c>
    </row>
    <row r="88" spans="2:3">
      <c r="B88">
        <v>88</v>
      </c>
      <c r="C88" s="1">
        <f t="shared" si="2"/>
        <v>0.77876106194690276</v>
      </c>
    </row>
    <row r="89" spans="2:3">
      <c r="B89">
        <v>89</v>
      </c>
      <c r="C89" s="1">
        <f t="shared" si="2"/>
        <v>0.78070175438596479</v>
      </c>
    </row>
    <row r="90" spans="2:3">
      <c r="B90">
        <v>90</v>
      </c>
      <c r="C90" s="1">
        <f t="shared" si="2"/>
        <v>0.78260869565217395</v>
      </c>
    </row>
    <row r="91" spans="2:3">
      <c r="B91">
        <v>91</v>
      </c>
      <c r="C91" s="1">
        <f t="shared" si="2"/>
        <v>0.78448275862068961</v>
      </c>
    </row>
    <row r="92" spans="2:3">
      <c r="B92">
        <v>92</v>
      </c>
      <c r="C92" s="1">
        <f t="shared" si="2"/>
        <v>0.78632478632478642</v>
      </c>
    </row>
    <row r="93" spans="2:3">
      <c r="B93">
        <v>93</v>
      </c>
      <c r="C93" s="1">
        <f t="shared" si="2"/>
        <v>0.78813559322033888</v>
      </c>
    </row>
    <row r="94" spans="2:3">
      <c r="B94">
        <v>94</v>
      </c>
      <c r="C94" s="1">
        <f t="shared" si="2"/>
        <v>0.7899159663865547</v>
      </c>
    </row>
    <row r="95" spans="2:3">
      <c r="B95">
        <v>95</v>
      </c>
      <c r="C95" s="1">
        <f t="shared" si="2"/>
        <v>0.79166666666666663</v>
      </c>
    </row>
    <row r="96" spans="2:3">
      <c r="B96">
        <v>96</v>
      </c>
      <c r="C96" s="1">
        <f t="shared" si="2"/>
        <v>0.79338842975206614</v>
      </c>
    </row>
    <row r="97" spans="2:3">
      <c r="B97">
        <v>97</v>
      </c>
      <c r="C97" s="1">
        <f t="shared" si="2"/>
        <v>0.79508196721311475</v>
      </c>
    </row>
    <row r="98" spans="2:3">
      <c r="B98">
        <v>98</v>
      </c>
      <c r="C98" s="1">
        <f t="shared" si="2"/>
        <v>0.7967479674796748</v>
      </c>
    </row>
    <row r="99" spans="2:3">
      <c r="B99">
        <v>99</v>
      </c>
      <c r="C99" s="1">
        <f t="shared" si="2"/>
        <v>0.79838709677419351</v>
      </c>
    </row>
    <row r="100" spans="2:3">
      <c r="B100">
        <v>100</v>
      </c>
      <c r="C100" s="1">
        <f t="shared" si="2"/>
        <v>0.8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50"/>
  <sheetViews>
    <sheetView workbookViewId="0">
      <selection activeCell="E50" sqref="E50"/>
    </sheetView>
  </sheetViews>
  <sheetFormatPr defaultRowHeight="14.25"/>
  <sheetData>
    <row r="1" spans="1:10">
      <c r="A1" t="s">
        <v>3</v>
      </c>
      <c r="B1" t="s">
        <v>0</v>
      </c>
      <c r="C1" t="s">
        <v>1</v>
      </c>
      <c r="D1" t="s">
        <v>2</v>
      </c>
      <c r="E1" t="s">
        <v>4</v>
      </c>
      <c r="F1" t="s">
        <v>7</v>
      </c>
      <c r="G1" t="s">
        <v>5</v>
      </c>
      <c r="H1" t="s">
        <v>6</v>
      </c>
      <c r="I1" t="s">
        <v>9</v>
      </c>
      <c r="J1" t="s">
        <v>8</v>
      </c>
    </row>
    <row r="2" spans="1:10">
      <c r="A2">
        <v>1</v>
      </c>
      <c r="B2">
        <f>IF(ISNUMBER($B1),$B1*$F$2+($A2+1)*$F$3+$F$4,400)</f>
        <v>400</v>
      </c>
      <c r="C2">
        <f>IF(ISNUMBER($B1),$B2-$B1,$B$2)</f>
        <v>400</v>
      </c>
      <c r="D2">
        <f>IF(ISNUMBER($D1),$D1*$G$2+$A2*$G$3+$G$4,50)</f>
        <v>50</v>
      </c>
      <c r="E2">
        <f>IF(ISNUMBER($E1),$E1*$H$2+$A2*$H$3+$H$4,100)</f>
        <v>100</v>
      </c>
      <c r="F2">
        <v>1</v>
      </c>
      <c r="G2">
        <v>1</v>
      </c>
      <c r="H2">
        <v>1</v>
      </c>
      <c r="I2">
        <f>1-$A2*0.03</f>
        <v>0.97</v>
      </c>
      <c r="J2">
        <f>$D2*$I2</f>
        <v>48.5</v>
      </c>
    </row>
    <row r="3" spans="1:10">
      <c r="A3">
        <v>2</v>
      </c>
      <c r="B3">
        <f t="shared" ref="B3:B50" si="0">IF(ISNUMBER($B2),$B2*$F$2+($A3+1)*$F$3+$F$4,400)</f>
        <v>1000</v>
      </c>
      <c r="C3">
        <f t="shared" ref="C3:C50" si="1">IF(ISNUMBER($B2),$B3-$B2,"NaN")</f>
        <v>600</v>
      </c>
      <c r="D3">
        <f t="shared" ref="D3:D50" si="2">IF(ISNUMBER($D2),$D2*$G$2+$A3*$G$3+$G$4,50)</f>
        <v>60</v>
      </c>
      <c r="E3">
        <f t="shared" ref="E3:E50" si="3">IF(ISNUMBER($E2),$E2*$H$2+$A3*$H$3+$H$4,100)</f>
        <v>120</v>
      </c>
      <c r="F3">
        <v>200</v>
      </c>
      <c r="G3">
        <v>2</v>
      </c>
      <c r="H3">
        <v>4</v>
      </c>
      <c r="I3">
        <f t="shared" ref="I3:I31" si="4">1-$A3*0.03</f>
        <v>0.94</v>
      </c>
      <c r="J3">
        <f t="shared" ref="J3:J31" si="5">$D3*$I3</f>
        <v>56.4</v>
      </c>
    </row>
    <row r="4" spans="1:10">
      <c r="A4">
        <v>3</v>
      </c>
      <c r="B4">
        <f t="shared" si="0"/>
        <v>1800</v>
      </c>
      <c r="C4">
        <f t="shared" si="1"/>
        <v>800</v>
      </c>
      <c r="D4">
        <f t="shared" si="2"/>
        <v>72</v>
      </c>
      <c r="E4">
        <f t="shared" si="3"/>
        <v>144</v>
      </c>
      <c r="F4">
        <v>0</v>
      </c>
      <c r="G4">
        <v>6</v>
      </c>
      <c r="H4">
        <v>12</v>
      </c>
      <c r="I4">
        <f t="shared" si="4"/>
        <v>0.91</v>
      </c>
      <c r="J4">
        <f t="shared" si="5"/>
        <v>65.52</v>
      </c>
    </row>
    <row r="5" spans="1:10">
      <c r="A5">
        <v>4</v>
      </c>
      <c r="B5">
        <f t="shared" si="0"/>
        <v>2800</v>
      </c>
      <c r="C5">
        <f t="shared" si="1"/>
        <v>1000</v>
      </c>
      <c r="D5">
        <f t="shared" si="2"/>
        <v>86</v>
      </c>
      <c r="E5">
        <f t="shared" si="3"/>
        <v>172</v>
      </c>
      <c r="I5">
        <f t="shared" si="4"/>
        <v>0.88</v>
      </c>
      <c r="J5">
        <f t="shared" si="5"/>
        <v>75.680000000000007</v>
      </c>
    </row>
    <row r="6" spans="1:10">
      <c r="A6">
        <v>5</v>
      </c>
      <c r="B6">
        <f t="shared" si="0"/>
        <v>4000</v>
      </c>
      <c r="C6">
        <f t="shared" si="1"/>
        <v>1200</v>
      </c>
      <c r="D6">
        <f t="shared" si="2"/>
        <v>102</v>
      </c>
      <c r="E6">
        <f t="shared" si="3"/>
        <v>204</v>
      </c>
      <c r="I6">
        <f t="shared" si="4"/>
        <v>0.85</v>
      </c>
      <c r="J6">
        <f t="shared" si="5"/>
        <v>86.7</v>
      </c>
    </row>
    <row r="7" spans="1:10">
      <c r="A7">
        <v>6</v>
      </c>
      <c r="B7">
        <f t="shared" si="0"/>
        <v>5400</v>
      </c>
      <c r="C7">
        <f t="shared" si="1"/>
        <v>1400</v>
      </c>
      <c r="D7">
        <f t="shared" si="2"/>
        <v>120</v>
      </c>
      <c r="E7">
        <f t="shared" si="3"/>
        <v>240</v>
      </c>
      <c r="I7">
        <f t="shared" si="4"/>
        <v>0.82000000000000006</v>
      </c>
      <c r="J7">
        <f t="shared" si="5"/>
        <v>98.4</v>
      </c>
    </row>
    <row r="8" spans="1:10">
      <c r="A8">
        <v>7</v>
      </c>
      <c r="B8">
        <f t="shared" si="0"/>
        <v>7000</v>
      </c>
      <c r="C8">
        <f t="shared" si="1"/>
        <v>1600</v>
      </c>
      <c r="D8">
        <f t="shared" si="2"/>
        <v>140</v>
      </c>
      <c r="E8">
        <f t="shared" si="3"/>
        <v>280</v>
      </c>
      <c r="I8">
        <f t="shared" si="4"/>
        <v>0.79</v>
      </c>
      <c r="J8">
        <f t="shared" si="5"/>
        <v>110.60000000000001</v>
      </c>
    </row>
    <row r="9" spans="1:10">
      <c r="A9">
        <v>8</v>
      </c>
      <c r="B9">
        <f t="shared" si="0"/>
        <v>8800</v>
      </c>
      <c r="C9">
        <f t="shared" si="1"/>
        <v>1800</v>
      </c>
      <c r="D9">
        <f t="shared" si="2"/>
        <v>162</v>
      </c>
      <c r="E9">
        <f t="shared" si="3"/>
        <v>324</v>
      </c>
      <c r="I9">
        <f t="shared" si="4"/>
        <v>0.76</v>
      </c>
      <c r="J9">
        <f t="shared" si="5"/>
        <v>123.12</v>
      </c>
    </row>
    <row r="10" spans="1:10">
      <c r="A10">
        <v>9</v>
      </c>
      <c r="B10">
        <f t="shared" si="0"/>
        <v>10800</v>
      </c>
      <c r="C10">
        <f t="shared" si="1"/>
        <v>2000</v>
      </c>
      <c r="D10">
        <f t="shared" si="2"/>
        <v>186</v>
      </c>
      <c r="E10">
        <f t="shared" si="3"/>
        <v>372</v>
      </c>
      <c r="I10">
        <f t="shared" si="4"/>
        <v>0.73</v>
      </c>
      <c r="J10">
        <f t="shared" si="5"/>
        <v>135.78</v>
      </c>
    </row>
    <row r="11" spans="1:10">
      <c r="A11">
        <v>10</v>
      </c>
      <c r="B11">
        <f t="shared" si="0"/>
        <v>13000</v>
      </c>
      <c r="C11">
        <f t="shared" si="1"/>
        <v>2200</v>
      </c>
      <c r="D11">
        <f t="shared" si="2"/>
        <v>212</v>
      </c>
      <c r="E11">
        <f t="shared" si="3"/>
        <v>424</v>
      </c>
      <c r="I11">
        <f t="shared" si="4"/>
        <v>0.7</v>
      </c>
      <c r="J11">
        <f t="shared" si="5"/>
        <v>148.39999999999998</v>
      </c>
    </row>
    <row r="12" spans="1:10">
      <c r="A12">
        <v>11</v>
      </c>
      <c r="B12">
        <f t="shared" si="0"/>
        <v>15400</v>
      </c>
      <c r="C12">
        <f t="shared" si="1"/>
        <v>2400</v>
      </c>
      <c r="D12">
        <f t="shared" si="2"/>
        <v>240</v>
      </c>
      <c r="E12">
        <f t="shared" si="3"/>
        <v>480</v>
      </c>
      <c r="I12">
        <f t="shared" si="4"/>
        <v>0.67</v>
      </c>
      <c r="J12">
        <f t="shared" si="5"/>
        <v>160.80000000000001</v>
      </c>
    </row>
    <row r="13" spans="1:10">
      <c r="A13">
        <v>12</v>
      </c>
      <c r="B13">
        <f t="shared" si="0"/>
        <v>18000</v>
      </c>
      <c r="C13">
        <f t="shared" si="1"/>
        <v>2600</v>
      </c>
      <c r="D13">
        <f t="shared" si="2"/>
        <v>270</v>
      </c>
      <c r="E13">
        <f t="shared" si="3"/>
        <v>540</v>
      </c>
      <c r="I13">
        <f t="shared" si="4"/>
        <v>0.64</v>
      </c>
      <c r="J13">
        <f t="shared" si="5"/>
        <v>172.8</v>
      </c>
    </row>
    <row r="14" spans="1:10">
      <c r="A14">
        <v>13</v>
      </c>
      <c r="B14">
        <f t="shared" si="0"/>
        <v>20800</v>
      </c>
      <c r="C14">
        <f t="shared" si="1"/>
        <v>2800</v>
      </c>
      <c r="D14">
        <f t="shared" si="2"/>
        <v>302</v>
      </c>
      <c r="E14">
        <f t="shared" si="3"/>
        <v>604</v>
      </c>
      <c r="I14">
        <f t="shared" si="4"/>
        <v>0.61</v>
      </c>
      <c r="J14">
        <f t="shared" si="5"/>
        <v>184.22</v>
      </c>
    </row>
    <row r="15" spans="1:10">
      <c r="A15">
        <v>14</v>
      </c>
      <c r="B15">
        <f t="shared" si="0"/>
        <v>23800</v>
      </c>
      <c r="C15">
        <f t="shared" si="1"/>
        <v>3000</v>
      </c>
      <c r="D15">
        <f t="shared" si="2"/>
        <v>336</v>
      </c>
      <c r="E15">
        <f t="shared" si="3"/>
        <v>672</v>
      </c>
      <c r="I15">
        <f t="shared" si="4"/>
        <v>0.58000000000000007</v>
      </c>
      <c r="J15">
        <f t="shared" si="5"/>
        <v>194.88000000000002</v>
      </c>
    </row>
    <row r="16" spans="1:10">
      <c r="A16">
        <v>15</v>
      </c>
      <c r="B16">
        <f t="shared" si="0"/>
        <v>27000</v>
      </c>
      <c r="C16">
        <f t="shared" si="1"/>
        <v>3200</v>
      </c>
      <c r="D16">
        <f t="shared" si="2"/>
        <v>372</v>
      </c>
      <c r="E16">
        <f t="shared" si="3"/>
        <v>744</v>
      </c>
      <c r="I16">
        <f t="shared" si="4"/>
        <v>0.55000000000000004</v>
      </c>
      <c r="J16">
        <f t="shared" si="5"/>
        <v>204.60000000000002</v>
      </c>
    </row>
    <row r="17" spans="1:10">
      <c r="A17">
        <v>16</v>
      </c>
      <c r="B17">
        <f t="shared" si="0"/>
        <v>30400</v>
      </c>
      <c r="C17">
        <f t="shared" si="1"/>
        <v>3400</v>
      </c>
      <c r="D17">
        <f t="shared" si="2"/>
        <v>410</v>
      </c>
      <c r="E17">
        <f t="shared" si="3"/>
        <v>820</v>
      </c>
      <c r="I17">
        <f t="shared" si="4"/>
        <v>0.52</v>
      </c>
      <c r="J17">
        <f t="shared" si="5"/>
        <v>213.20000000000002</v>
      </c>
    </row>
    <row r="18" spans="1:10">
      <c r="A18">
        <v>17</v>
      </c>
      <c r="B18">
        <f t="shared" si="0"/>
        <v>34000</v>
      </c>
      <c r="C18">
        <f t="shared" si="1"/>
        <v>3600</v>
      </c>
      <c r="D18">
        <f t="shared" si="2"/>
        <v>450</v>
      </c>
      <c r="E18">
        <f t="shared" si="3"/>
        <v>900</v>
      </c>
      <c r="I18">
        <f t="shared" si="4"/>
        <v>0.49</v>
      </c>
      <c r="J18">
        <f t="shared" si="5"/>
        <v>220.5</v>
      </c>
    </row>
    <row r="19" spans="1:10">
      <c r="A19">
        <v>18</v>
      </c>
      <c r="B19">
        <f t="shared" si="0"/>
        <v>37800</v>
      </c>
      <c r="C19">
        <f t="shared" si="1"/>
        <v>3800</v>
      </c>
      <c r="D19">
        <f t="shared" si="2"/>
        <v>492</v>
      </c>
      <c r="E19">
        <f t="shared" si="3"/>
        <v>984</v>
      </c>
      <c r="I19">
        <f t="shared" si="4"/>
        <v>0.45999999999999996</v>
      </c>
      <c r="J19">
        <f t="shared" si="5"/>
        <v>226.32</v>
      </c>
    </row>
    <row r="20" spans="1:10">
      <c r="A20">
        <v>19</v>
      </c>
      <c r="B20">
        <f t="shared" si="0"/>
        <v>41800</v>
      </c>
      <c r="C20">
        <f t="shared" si="1"/>
        <v>4000</v>
      </c>
      <c r="D20">
        <f t="shared" si="2"/>
        <v>536</v>
      </c>
      <c r="E20">
        <f t="shared" si="3"/>
        <v>1072</v>
      </c>
      <c r="I20">
        <f t="shared" si="4"/>
        <v>0.43000000000000005</v>
      </c>
      <c r="J20">
        <f t="shared" si="5"/>
        <v>230.48000000000002</v>
      </c>
    </row>
    <row r="21" spans="1:10">
      <c r="A21">
        <v>20</v>
      </c>
      <c r="B21">
        <f t="shared" si="0"/>
        <v>46000</v>
      </c>
      <c r="C21">
        <f t="shared" si="1"/>
        <v>4200</v>
      </c>
      <c r="D21">
        <f>IF(ISNUMBER($D20),$D20*$G$2+$A21*$G$3+$G$4,50)</f>
        <v>582</v>
      </c>
      <c r="E21">
        <f t="shared" si="3"/>
        <v>1164</v>
      </c>
      <c r="I21">
        <f t="shared" si="4"/>
        <v>0.4</v>
      </c>
      <c r="J21">
        <f t="shared" si="5"/>
        <v>232.8</v>
      </c>
    </row>
    <row r="22" spans="1:10">
      <c r="A22">
        <v>21</v>
      </c>
      <c r="B22">
        <f t="shared" si="0"/>
        <v>50400</v>
      </c>
      <c r="C22">
        <f t="shared" si="1"/>
        <v>4400</v>
      </c>
      <c r="D22">
        <f t="shared" si="2"/>
        <v>630</v>
      </c>
      <c r="E22">
        <f t="shared" si="3"/>
        <v>1260</v>
      </c>
      <c r="I22">
        <f t="shared" si="4"/>
        <v>0.37</v>
      </c>
      <c r="J22">
        <f t="shared" si="5"/>
        <v>233.1</v>
      </c>
    </row>
    <row r="23" spans="1:10">
      <c r="A23">
        <v>22</v>
      </c>
      <c r="B23">
        <f t="shared" si="0"/>
        <v>55000</v>
      </c>
      <c r="C23">
        <f t="shared" si="1"/>
        <v>4600</v>
      </c>
      <c r="D23">
        <f t="shared" si="2"/>
        <v>680</v>
      </c>
      <c r="E23">
        <f t="shared" si="3"/>
        <v>1360</v>
      </c>
      <c r="I23">
        <f t="shared" si="4"/>
        <v>0.34000000000000008</v>
      </c>
      <c r="J23">
        <f t="shared" si="5"/>
        <v>231.20000000000005</v>
      </c>
    </row>
    <row r="24" spans="1:10">
      <c r="A24">
        <v>23</v>
      </c>
      <c r="B24">
        <f t="shared" si="0"/>
        <v>59800</v>
      </c>
      <c r="C24">
        <f t="shared" si="1"/>
        <v>4800</v>
      </c>
      <c r="D24">
        <f t="shared" si="2"/>
        <v>732</v>
      </c>
      <c r="E24">
        <f t="shared" si="3"/>
        <v>1464</v>
      </c>
      <c r="I24">
        <f t="shared" si="4"/>
        <v>0.31000000000000005</v>
      </c>
      <c r="J24">
        <f t="shared" si="5"/>
        <v>226.92000000000004</v>
      </c>
    </row>
    <row r="25" spans="1:10">
      <c r="A25">
        <v>24</v>
      </c>
      <c r="B25">
        <f t="shared" si="0"/>
        <v>64800</v>
      </c>
      <c r="C25">
        <f t="shared" si="1"/>
        <v>5000</v>
      </c>
      <c r="D25">
        <f t="shared" si="2"/>
        <v>786</v>
      </c>
      <c r="E25">
        <f t="shared" si="3"/>
        <v>1572</v>
      </c>
      <c r="I25">
        <f t="shared" si="4"/>
        <v>0.28000000000000003</v>
      </c>
      <c r="J25">
        <f t="shared" si="5"/>
        <v>220.08</v>
      </c>
    </row>
    <row r="26" spans="1:10">
      <c r="A26">
        <v>25</v>
      </c>
      <c r="B26">
        <f t="shared" si="0"/>
        <v>70000</v>
      </c>
      <c r="C26">
        <f t="shared" si="1"/>
        <v>5200</v>
      </c>
      <c r="D26">
        <f t="shared" si="2"/>
        <v>842</v>
      </c>
      <c r="E26">
        <f t="shared" si="3"/>
        <v>1684</v>
      </c>
      <c r="I26">
        <f t="shared" si="4"/>
        <v>0.25</v>
      </c>
      <c r="J26">
        <f t="shared" si="5"/>
        <v>210.5</v>
      </c>
    </row>
    <row r="27" spans="1:10">
      <c r="A27">
        <v>26</v>
      </c>
      <c r="B27">
        <f t="shared" si="0"/>
        <v>75400</v>
      </c>
      <c r="C27">
        <f t="shared" si="1"/>
        <v>5400</v>
      </c>
      <c r="D27">
        <f t="shared" si="2"/>
        <v>900</v>
      </c>
      <c r="E27">
        <f t="shared" si="3"/>
        <v>1800</v>
      </c>
      <c r="I27">
        <f t="shared" si="4"/>
        <v>0.21999999999999997</v>
      </c>
      <c r="J27">
        <f t="shared" si="5"/>
        <v>197.99999999999997</v>
      </c>
    </row>
    <row r="28" spans="1:10">
      <c r="A28">
        <v>27</v>
      </c>
      <c r="B28">
        <f t="shared" si="0"/>
        <v>81000</v>
      </c>
      <c r="C28">
        <f t="shared" si="1"/>
        <v>5600</v>
      </c>
      <c r="D28">
        <f t="shared" si="2"/>
        <v>960</v>
      </c>
      <c r="E28">
        <f t="shared" si="3"/>
        <v>1920</v>
      </c>
      <c r="I28">
        <f t="shared" si="4"/>
        <v>0.19000000000000006</v>
      </c>
      <c r="J28">
        <f t="shared" si="5"/>
        <v>182.40000000000006</v>
      </c>
    </row>
    <row r="29" spans="1:10">
      <c r="A29">
        <v>28</v>
      </c>
      <c r="B29">
        <f t="shared" si="0"/>
        <v>86800</v>
      </c>
      <c r="C29">
        <f t="shared" si="1"/>
        <v>5800</v>
      </c>
      <c r="D29">
        <f t="shared" si="2"/>
        <v>1022</v>
      </c>
      <c r="E29">
        <f t="shared" si="3"/>
        <v>2044</v>
      </c>
      <c r="I29">
        <f t="shared" si="4"/>
        <v>0.16000000000000003</v>
      </c>
      <c r="J29">
        <f t="shared" si="5"/>
        <v>163.52000000000004</v>
      </c>
    </row>
    <row r="30" spans="1:10">
      <c r="A30">
        <v>29</v>
      </c>
      <c r="B30">
        <f t="shared" si="0"/>
        <v>92800</v>
      </c>
      <c r="C30">
        <f t="shared" si="1"/>
        <v>6000</v>
      </c>
      <c r="D30">
        <f t="shared" si="2"/>
        <v>1086</v>
      </c>
      <c r="E30">
        <f t="shared" si="3"/>
        <v>2172</v>
      </c>
      <c r="I30">
        <f t="shared" si="4"/>
        <v>0.13</v>
      </c>
      <c r="J30">
        <f t="shared" si="5"/>
        <v>141.18</v>
      </c>
    </row>
    <row r="31" spans="1:10">
      <c r="A31">
        <v>30</v>
      </c>
      <c r="B31">
        <f t="shared" si="0"/>
        <v>99000</v>
      </c>
      <c r="C31">
        <f t="shared" si="1"/>
        <v>6200</v>
      </c>
      <c r="D31">
        <f t="shared" si="2"/>
        <v>1152</v>
      </c>
      <c r="E31">
        <f t="shared" si="3"/>
        <v>2304</v>
      </c>
      <c r="I31">
        <f t="shared" si="4"/>
        <v>0.10000000000000009</v>
      </c>
      <c r="J31">
        <f t="shared" si="5"/>
        <v>115.2000000000001</v>
      </c>
    </row>
    <row r="32" spans="1:10">
      <c r="A32">
        <v>31</v>
      </c>
      <c r="B32">
        <f t="shared" si="0"/>
        <v>105400</v>
      </c>
      <c r="C32">
        <f t="shared" si="1"/>
        <v>6400</v>
      </c>
      <c r="D32">
        <f t="shared" si="2"/>
        <v>1220</v>
      </c>
      <c r="E32">
        <f t="shared" si="3"/>
        <v>2440</v>
      </c>
    </row>
    <row r="33" spans="1:5">
      <c r="A33">
        <v>32</v>
      </c>
      <c r="B33">
        <f t="shared" si="0"/>
        <v>112000</v>
      </c>
      <c r="C33">
        <f t="shared" si="1"/>
        <v>6600</v>
      </c>
      <c r="D33">
        <f t="shared" si="2"/>
        <v>1290</v>
      </c>
      <c r="E33">
        <f t="shared" si="3"/>
        <v>2580</v>
      </c>
    </row>
    <row r="34" spans="1:5">
      <c r="A34">
        <v>33</v>
      </c>
      <c r="B34">
        <f t="shared" si="0"/>
        <v>118800</v>
      </c>
      <c r="C34">
        <f t="shared" si="1"/>
        <v>6800</v>
      </c>
      <c r="D34">
        <f t="shared" si="2"/>
        <v>1362</v>
      </c>
      <c r="E34">
        <f t="shared" si="3"/>
        <v>2724</v>
      </c>
    </row>
    <row r="35" spans="1:5">
      <c r="A35">
        <v>34</v>
      </c>
      <c r="B35">
        <f t="shared" si="0"/>
        <v>125800</v>
      </c>
      <c r="C35">
        <f t="shared" si="1"/>
        <v>7000</v>
      </c>
      <c r="D35">
        <f t="shared" si="2"/>
        <v>1436</v>
      </c>
      <c r="E35">
        <f t="shared" si="3"/>
        <v>2872</v>
      </c>
    </row>
    <row r="36" spans="1:5">
      <c r="A36">
        <v>35</v>
      </c>
      <c r="B36">
        <f t="shared" si="0"/>
        <v>133000</v>
      </c>
      <c r="C36">
        <f t="shared" si="1"/>
        <v>7200</v>
      </c>
      <c r="D36">
        <f t="shared" si="2"/>
        <v>1512</v>
      </c>
      <c r="E36">
        <f t="shared" si="3"/>
        <v>3024</v>
      </c>
    </row>
    <row r="37" spans="1:5">
      <c r="A37">
        <v>36</v>
      </c>
      <c r="B37">
        <f t="shared" si="0"/>
        <v>140400</v>
      </c>
      <c r="C37">
        <f t="shared" si="1"/>
        <v>7400</v>
      </c>
      <c r="D37">
        <f t="shared" si="2"/>
        <v>1590</v>
      </c>
      <c r="E37">
        <f t="shared" si="3"/>
        <v>3180</v>
      </c>
    </row>
    <row r="38" spans="1:5">
      <c r="A38">
        <v>37</v>
      </c>
      <c r="B38">
        <f t="shared" si="0"/>
        <v>148000</v>
      </c>
      <c r="C38">
        <f t="shared" si="1"/>
        <v>7600</v>
      </c>
      <c r="D38">
        <f t="shared" si="2"/>
        <v>1670</v>
      </c>
      <c r="E38">
        <f t="shared" si="3"/>
        <v>3340</v>
      </c>
    </row>
    <row r="39" spans="1:5">
      <c r="A39">
        <v>38</v>
      </c>
      <c r="B39">
        <f t="shared" si="0"/>
        <v>155800</v>
      </c>
      <c r="C39">
        <f t="shared" si="1"/>
        <v>7800</v>
      </c>
      <c r="D39">
        <f t="shared" si="2"/>
        <v>1752</v>
      </c>
      <c r="E39">
        <f t="shared" si="3"/>
        <v>3504</v>
      </c>
    </row>
    <row r="40" spans="1:5">
      <c r="A40">
        <v>39</v>
      </c>
      <c r="B40">
        <f t="shared" si="0"/>
        <v>163800</v>
      </c>
      <c r="C40">
        <f t="shared" si="1"/>
        <v>8000</v>
      </c>
      <c r="D40">
        <f t="shared" si="2"/>
        <v>1836</v>
      </c>
      <c r="E40">
        <f t="shared" si="3"/>
        <v>3672</v>
      </c>
    </row>
    <row r="41" spans="1:5">
      <c r="A41">
        <v>40</v>
      </c>
      <c r="B41">
        <f t="shared" si="0"/>
        <v>172000</v>
      </c>
      <c r="C41">
        <f t="shared" si="1"/>
        <v>8200</v>
      </c>
      <c r="D41">
        <f t="shared" si="2"/>
        <v>1922</v>
      </c>
      <c r="E41">
        <f t="shared" si="3"/>
        <v>3844</v>
      </c>
    </row>
    <row r="42" spans="1:5">
      <c r="A42">
        <v>41</v>
      </c>
      <c r="B42">
        <f t="shared" si="0"/>
        <v>180400</v>
      </c>
      <c r="C42">
        <f t="shared" si="1"/>
        <v>8400</v>
      </c>
      <c r="D42">
        <f t="shared" si="2"/>
        <v>2010</v>
      </c>
      <c r="E42">
        <f t="shared" si="3"/>
        <v>4020</v>
      </c>
    </row>
    <row r="43" spans="1:5">
      <c r="A43">
        <v>42</v>
      </c>
      <c r="B43">
        <f t="shared" si="0"/>
        <v>189000</v>
      </c>
      <c r="C43">
        <f t="shared" si="1"/>
        <v>8600</v>
      </c>
      <c r="D43">
        <f t="shared" si="2"/>
        <v>2100</v>
      </c>
      <c r="E43">
        <f t="shared" si="3"/>
        <v>4200</v>
      </c>
    </row>
    <row r="44" spans="1:5">
      <c r="A44">
        <v>43</v>
      </c>
      <c r="B44">
        <f t="shared" si="0"/>
        <v>197800</v>
      </c>
      <c r="C44">
        <f t="shared" si="1"/>
        <v>8800</v>
      </c>
      <c r="D44">
        <f t="shared" si="2"/>
        <v>2192</v>
      </c>
      <c r="E44">
        <f t="shared" si="3"/>
        <v>4384</v>
      </c>
    </row>
    <row r="45" spans="1:5">
      <c r="A45">
        <v>44</v>
      </c>
      <c r="B45">
        <f t="shared" si="0"/>
        <v>206800</v>
      </c>
      <c r="C45">
        <f t="shared" si="1"/>
        <v>9000</v>
      </c>
      <c r="D45">
        <f t="shared" si="2"/>
        <v>2286</v>
      </c>
      <c r="E45">
        <f t="shared" si="3"/>
        <v>4572</v>
      </c>
    </row>
    <row r="46" spans="1:5">
      <c r="A46">
        <v>45</v>
      </c>
      <c r="B46">
        <f t="shared" si="0"/>
        <v>216000</v>
      </c>
      <c r="C46">
        <f t="shared" si="1"/>
        <v>9200</v>
      </c>
      <c r="D46">
        <f t="shared" si="2"/>
        <v>2382</v>
      </c>
      <c r="E46">
        <f t="shared" si="3"/>
        <v>4764</v>
      </c>
    </row>
    <row r="47" spans="1:5">
      <c r="A47">
        <v>46</v>
      </c>
      <c r="B47">
        <f t="shared" si="0"/>
        <v>225400</v>
      </c>
      <c r="C47">
        <f t="shared" si="1"/>
        <v>9400</v>
      </c>
      <c r="D47">
        <f t="shared" si="2"/>
        <v>2480</v>
      </c>
      <c r="E47">
        <f t="shared" si="3"/>
        <v>4960</v>
      </c>
    </row>
    <row r="48" spans="1:5">
      <c r="A48">
        <v>47</v>
      </c>
      <c r="B48">
        <f t="shared" si="0"/>
        <v>235000</v>
      </c>
      <c r="C48">
        <f t="shared" si="1"/>
        <v>9600</v>
      </c>
      <c r="D48">
        <f t="shared" si="2"/>
        <v>2580</v>
      </c>
      <c r="E48">
        <f t="shared" si="3"/>
        <v>5160</v>
      </c>
    </row>
    <row r="49" spans="1:5">
      <c r="A49">
        <v>48</v>
      </c>
      <c r="B49">
        <f t="shared" si="0"/>
        <v>244800</v>
      </c>
      <c r="C49">
        <f t="shared" si="1"/>
        <v>9800</v>
      </c>
      <c r="D49">
        <f t="shared" si="2"/>
        <v>2682</v>
      </c>
      <c r="E49">
        <f t="shared" si="3"/>
        <v>5364</v>
      </c>
    </row>
    <row r="50" spans="1:5">
      <c r="A50">
        <v>49</v>
      </c>
      <c r="B50">
        <f t="shared" si="0"/>
        <v>254800</v>
      </c>
      <c r="C50">
        <f t="shared" si="1"/>
        <v>10000</v>
      </c>
      <c r="D50">
        <f t="shared" si="2"/>
        <v>2786</v>
      </c>
      <c r="E50">
        <f t="shared" si="3"/>
        <v>5572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C7" sqref="C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11"/>
  <sheetViews>
    <sheetView workbookViewId="0">
      <selection activeCell="F15" sqref="F15"/>
    </sheetView>
  </sheetViews>
  <sheetFormatPr defaultRowHeight="14.25"/>
  <cols>
    <col min="1" max="1" width="10.875" customWidth="1"/>
    <col min="2" max="2" width="12.5" customWidth="1"/>
    <col min="3" max="3" width="25" customWidth="1"/>
    <col min="4" max="4" width="12.5" customWidth="1"/>
    <col min="5" max="5" width="9" customWidth="1"/>
  </cols>
  <sheetData>
    <row r="1" spans="1:26">
      <c r="A1" t="s">
        <v>35</v>
      </c>
      <c r="B1" t="s">
        <v>37</v>
      </c>
      <c r="C1" t="s">
        <v>47</v>
      </c>
      <c r="D1" t="s">
        <v>38</v>
      </c>
      <c r="E1" t="s">
        <v>36</v>
      </c>
      <c r="F1" t="s">
        <v>37</v>
      </c>
      <c r="G1" t="s">
        <v>36</v>
      </c>
      <c r="H1" t="s">
        <v>37</v>
      </c>
      <c r="I1" t="s">
        <v>36</v>
      </c>
      <c r="J1" t="s">
        <v>37</v>
      </c>
      <c r="K1" t="s">
        <v>36</v>
      </c>
      <c r="L1" t="s">
        <v>37</v>
      </c>
      <c r="M1" t="s">
        <v>36</v>
      </c>
      <c r="N1" t="s">
        <v>37</v>
      </c>
      <c r="O1" t="s">
        <v>36</v>
      </c>
      <c r="P1" t="s">
        <v>37</v>
      </c>
      <c r="Q1" t="s">
        <v>36</v>
      </c>
      <c r="R1" t="s">
        <v>37</v>
      </c>
      <c r="S1" t="s">
        <v>36</v>
      </c>
      <c r="T1" t="s">
        <v>37</v>
      </c>
      <c r="U1" t="s">
        <v>36</v>
      </c>
      <c r="V1" t="s">
        <v>37</v>
      </c>
      <c r="W1" t="s">
        <v>36</v>
      </c>
      <c r="X1" t="s">
        <v>37</v>
      </c>
      <c r="Y1" t="s">
        <v>36</v>
      </c>
      <c r="Z1" t="s">
        <v>37</v>
      </c>
    </row>
    <row r="2" spans="1:26">
      <c r="A2">
        <v>0</v>
      </c>
      <c r="B2" t="s">
        <v>103</v>
      </c>
      <c r="E2">
        <v>0</v>
      </c>
      <c r="F2" t="s">
        <v>52</v>
      </c>
      <c r="G2">
        <v>1</v>
      </c>
      <c r="H2" t="s">
        <v>104</v>
      </c>
      <c r="I2">
        <v>2</v>
      </c>
      <c r="J2" t="s">
        <v>105</v>
      </c>
      <c r="K2">
        <v>3</v>
      </c>
      <c r="L2" t="s">
        <v>106</v>
      </c>
      <c r="M2">
        <v>4</v>
      </c>
      <c r="N2" t="s">
        <v>107</v>
      </c>
      <c r="O2">
        <v>5</v>
      </c>
      <c r="P2" t="s">
        <v>108</v>
      </c>
      <c r="Q2">
        <v>6</v>
      </c>
      <c r="R2" t="s">
        <v>109</v>
      </c>
      <c r="S2">
        <v>7</v>
      </c>
      <c r="T2" t="s">
        <v>110</v>
      </c>
      <c r="U2">
        <v>8</v>
      </c>
      <c r="V2" t="s">
        <v>111</v>
      </c>
      <c r="W2">
        <v>9</v>
      </c>
    </row>
    <row r="3" spans="1:26">
      <c r="A3">
        <v>1</v>
      </c>
      <c r="B3" t="s">
        <v>49</v>
      </c>
      <c r="D3">
        <v>10</v>
      </c>
      <c r="E3">
        <v>0</v>
      </c>
      <c r="F3" t="s">
        <v>48</v>
      </c>
      <c r="G3">
        <v>1</v>
      </c>
      <c r="H3" t="s">
        <v>50</v>
      </c>
      <c r="I3">
        <v>2</v>
      </c>
      <c r="J3" t="s">
        <v>51</v>
      </c>
      <c r="K3">
        <v>3</v>
      </c>
      <c r="L3" t="s">
        <v>53</v>
      </c>
      <c r="M3">
        <v>4</v>
      </c>
      <c r="N3" t="s">
        <v>55</v>
      </c>
      <c r="O3">
        <v>5</v>
      </c>
      <c r="P3" t="s">
        <v>54</v>
      </c>
      <c r="Q3">
        <v>6</v>
      </c>
      <c r="R3" t="s">
        <v>56</v>
      </c>
      <c r="S3">
        <v>7</v>
      </c>
      <c r="T3" t="s">
        <v>57</v>
      </c>
      <c r="U3">
        <v>8</v>
      </c>
      <c r="V3" t="s">
        <v>58</v>
      </c>
      <c r="W3">
        <v>9</v>
      </c>
      <c r="X3" t="s">
        <v>59</v>
      </c>
    </row>
    <row r="4" spans="1:26">
      <c r="A4">
        <v>2</v>
      </c>
      <c r="B4" t="s">
        <v>39</v>
      </c>
      <c r="D4">
        <v>10</v>
      </c>
      <c r="E4">
        <v>0</v>
      </c>
      <c r="F4" t="s">
        <v>65</v>
      </c>
      <c r="G4">
        <v>1</v>
      </c>
      <c r="H4" t="s">
        <v>60</v>
      </c>
      <c r="I4">
        <v>2</v>
      </c>
      <c r="J4" t="s">
        <v>63</v>
      </c>
      <c r="K4">
        <v>3</v>
      </c>
      <c r="L4" t="s">
        <v>61</v>
      </c>
      <c r="M4">
        <v>4</v>
      </c>
      <c r="N4" t="s">
        <v>62</v>
      </c>
      <c r="O4">
        <v>5</v>
      </c>
      <c r="P4" t="s">
        <v>64</v>
      </c>
      <c r="Q4">
        <v>6</v>
      </c>
      <c r="R4" t="s">
        <v>66</v>
      </c>
      <c r="S4">
        <v>7</v>
      </c>
      <c r="T4" t="s">
        <v>67</v>
      </c>
      <c r="U4">
        <v>8</v>
      </c>
      <c r="V4" t="s">
        <v>68</v>
      </c>
      <c r="W4">
        <v>9</v>
      </c>
      <c r="X4" t="s">
        <v>69</v>
      </c>
    </row>
    <row r="5" spans="1:26">
      <c r="A5">
        <v>3</v>
      </c>
      <c r="B5" t="s">
        <v>40</v>
      </c>
      <c r="D5">
        <v>7</v>
      </c>
      <c r="E5">
        <v>0</v>
      </c>
      <c r="F5" t="s">
        <v>70</v>
      </c>
      <c r="G5">
        <v>1</v>
      </c>
      <c r="H5" t="s">
        <v>71</v>
      </c>
      <c r="I5">
        <v>2</v>
      </c>
      <c r="J5" t="s">
        <v>73</v>
      </c>
      <c r="K5">
        <v>3</v>
      </c>
      <c r="L5" t="s">
        <v>74</v>
      </c>
      <c r="M5">
        <v>4</v>
      </c>
      <c r="N5" t="s">
        <v>76</v>
      </c>
      <c r="O5">
        <v>5</v>
      </c>
      <c r="P5" t="s">
        <v>75</v>
      </c>
      <c r="Q5">
        <v>6</v>
      </c>
      <c r="R5" t="s">
        <v>102</v>
      </c>
      <c r="S5">
        <v>7</v>
      </c>
      <c r="U5">
        <v>8</v>
      </c>
      <c r="W5">
        <v>9</v>
      </c>
    </row>
    <row r="6" spans="1:26">
      <c r="A6">
        <v>4</v>
      </c>
      <c r="B6" t="s">
        <v>41</v>
      </c>
      <c r="D6">
        <v>8</v>
      </c>
      <c r="E6">
        <v>0</v>
      </c>
      <c r="F6" t="s">
        <v>79</v>
      </c>
      <c r="G6">
        <v>1</v>
      </c>
      <c r="H6" t="s">
        <v>78</v>
      </c>
      <c r="I6">
        <v>2</v>
      </c>
      <c r="J6" t="s">
        <v>77</v>
      </c>
      <c r="K6">
        <v>3</v>
      </c>
      <c r="L6" t="s">
        <v>80</v>
      </c>
      <c r="M6">
        <v>4</v>
      </c>
      <c r="N6" t="s">
        <v>81</v>
      </c>
      <c r="O6">
        <v>5</v>
      </c>
      <c r="P6" t="s">
        <v>93</v>
      </c>
      <c r="Q6">
        <v>6</v>
      </c>
      <c r="R6" t="s">
        <v>84</v>
      </c>
      <c r="S6">
        <v>7</v>
      </c>
      <c r="T6" t="s">
        <v>82</v>
      </c>
      <c r="U6">
        <v>8</v>
      </c>
      <c r="W6">
        <v>9</v>
      </c>
    </row>
    <row r="7" spans="1:26">
      <c r="A7">
        <v>5</v>
      </c>
      <c r="B7" t="s">
        <v>42</v>
      </c>
      <c r="D7">
        <v>8</v>
      </c>
      <c r="E7">
        <v>0</v>
      </c>
      <c r="F7" t="s">
        <v>86</v>
      </c>
      <c r="G7">
        <v>1</v>
      </c>
      <c r="H7" t="s">
        <v>85</v>
      </c>
      <c r="I7">
        <v>2</v>
      </c>
      <c r="J7" t="s">
        <v>87</v>
      </c>
      <c r="K7">
        <v>3</v>
      </c>
      <c r="L7" t="s">
        <v>88</v>
      </c>
      <c r="M7">
        <v>4</v>
      </c>
      <c r="N7" t="s">
        <v>89</v>
      </c>
      <c r="O7">
        <v>5</v>
      </c>
      <c r="P7" t="s">
        <v>90</v>
      </c>
      <c r="Q7">
        <v>6</v>
      </c>
      <c r="R7" t="s">
        <v>91</v>
      </c>
      <c r="S7">
        <v>7</v>
      </c>
      <c r="T7" t="s">
        <v>83</v>
      </c>
      <c r="U7">
        <v>8</v>
      </c>
      <c r="W7">
        <v>9</v>
      </c>
    </row>
    <row r="8" spans="1:26">
      <c r="A8">
        <v>6</v>
      </c>
      <c r="B8" t="s">
        <v>43</v>
      </c>
      <c r="D8">
        <v>4</v>
      </c>
      <c r="E8">
        <v>0</v>
      </c>
      <c r="F8" t="s">
        <v>72</v>
      </c>
      <c r="G8">
        <v>1</v>
      </c>
      <c r="H8" t="s">
        <v>92</v>
      </c>
      <c r="I8">
        <v>2</v>
      </c>
      <c r="J8" t="s">
        <v>94</v>
      </c>
      <c r="K8">
        <v>3</v>
      </c>
      <c r="L8" t="s">
        <v>101</v>
      </c>
      <c r="M8">
        <v>4</v>
      </c>
      <c r="O8">
        <v>5</v>
      </c>
      <c r="Q8">
        <v>6</v>
      </c>
      <c r="S8">
        <v>7</v>
      </c>
      <c r="U8">
        <v>8</v>
      </c>
      <c r="W8">
        <v>9</v>
      </c>
    </row>
    <row r="9" spans="1:26">
      <c r="A9">
        <v>7</v>
      </c>
      <c r="B9" t="s">
        <v>44</v>
      </c>
      <c r="D9">
        <v>6</v>
      </c>
      <c r="E9">
        <v>0</v>
      </c>
      <c r="F9" t="s">
        <v>95</v>
      </c>
      <c r="G9">
        <v>1</v>
      </c>
      <c r="H9" t="s">
        <v>96</v>
      </c>
      <c r="I9">
        <v>2</v>
      </c>
      <c r="J9" t="s">
        <v>97</v>
      </c>
      <c r="K9">
        <v>3</v>
      </c>
      <c r="L9" t="s">
        <v>99</v>
      </c>
      <c r="M9">
        <v>4</v>
      </c>
      <c r="N9" t="s">
        <v>98</v>
      </c>
      <c r="O9">
        <v>5</v>
      </c>
      <c r="P9" t="s">
        <v>100</v>
      </c>
      <c r="Q9">
        <v>6</v>
      </c>
      <c r="S9">
        <v>7</v>
      </c>
      <c r="U9">
        <v>8</v>
      </c>
      <c r="W9">
        <v>9</v>
      </c>
    </row>
    <row r="10" spans="1:26">
      <c r="A10">
        <v>8</v>
      </c>
      <c r="B10" t="s">
        <v>45</v>
      </c>
      <c r="E10">
        <v>0</v>
      </c>
      <c r="G10">
        <v>1</v>
      </c>
      <c r="I10">
        <v>2</v>
      </c>
      <c r="K10">
        <v>3</v>
      </c>
      <c r="M10">
        <v>4</v>
      </c>
      <c r="O10">
        <v>5</v>
      </c>
      <c r="Q10">
        <v>6</v>
      </c>
      <c r="S10">
        <v>7</v>
      </c>
      <c r="U10">
        <v>8</v>
      </c>
      <c r="W10">
        <v>9</v>
      </c>
    </row>
    <row r="11" spans="1:26">
      <c r="A11">
        <v>9</v>
      </c>
      <c r="B11" t="s">
        <v>46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7"/>
  <sheetViews>
    <sheetView workbookViewId="0">
      <selection activeCell="G16" sqref="G16"/>
    </sheetView>
  </sheetViews>
  <sheetFormatPr defaultRowHeight="14.25"/>
  <cols>
    <col min="1" max="1" width="18" customWidth="1"/>
    <col min="9" max="9" width="25" bestFit="1" customWidth="1"/>
  </cols>
  <sheetData>
    <row r="1" spans="1:10">
      <c r="A1" t="s">
        <v>10</v>
      </c>
      <c r="B1" t="s">
        <v>3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</row>
    <row r="2" spans="1:10">
      <c r="A2" t="s">
        <v>22</v>
      </c>
      <c r="B2">
        <v>5</v>
      </c>
      <c r="C2" t="s">
        <v>23</v>
      </c>
      <c r="D2" t="s">
        <v>24</v>
      </c>
      <c r="E2">
        <v>6000</v>
      </c>
      <c r="F2">
        <v>400</v>
      </c>
      <c r="G2">
        <v>120</v>
      </c>
      <c r="H2">
        <v>10</v>
      </c>
      <c r="I2" t="s">
        <v>25</v>
      </c>
    </row>
    <row r="3" spans="1:10">
      <c r="A3" t="s">
        <v>33</v>
      </c>
      <c r="B3">
        <v>6</v>
      </c>
      <c r="C3" t="s">
        <v>19</v>
      </c>
      <c r="D3" t="s">
        <v>34</v>
      </c>
      <c r="E3">
        <v>8000</v>
      </c>
      <c r="F3">
        <v>500</v>
      </c>
      <c r="G3">
        <v>200</v>
      </c>
      <c r="H3">
        <v>0</v>
      </c>
    </row>
    <row r="4" spans="1:10">
      <c r="A4" t="s">
        <v>21</v>
      </c>
      <c r="B4">
        <v>7</v>
      </c>
      <c r="C4" t="s">
        <v>27</v>
      </c>
      <c r="D4" t="s">
        <v>20</v>
      </c>
    </row>
    <row r="5" spans="1:10">
      <c r="A5" t="s">
        <v>26</v>
      </c>
      <c r="B5">
        <v>8</v>
      </c>
      <c r="C5" t="s">
        <v>27</v>
      </c>
      <c r="D5" t="s">
        <v>24</v>
      </c>
      <c r="E5">
        <v>10000</v>
      </c>
      <c r="F5">
        <v>600</v>
      </c>
      <c r="G5">
        <v>160</v>
      </c>
      <c r="H5">
        <v>15</v>
      </c>
    </row>
    <row r="6" spans="1:10">
      <c r="A6" t="s">
        <v>29</v>
      </c>
      <c r="C6" t="s">
        <v>19</v>
      </c>
      <c r="D6" t="s">
        <v>30</v>
      </c>
    </row>
    <row r="7" spans="1:10">
      <c r="A7" t="s">
        <v>28</v>
      </c>
      <c r="C7" t="s">
        <v>31</v>
      </c>
      <c r="D7" t="s">
        <v>32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32"/>
  <sheetViews>
    <sheetView tabSelected="1" workbookViewId="0">
      <selection activeCell="H6" sqref="H6"/>
    </sheetView>
  </sheetViews>
  <sheetFormatPr defaultRowHeight="14.25"/>
  <cols>
    <col min="1" max="1" width="7.5" customWidth="1"/>
    <col min="2" max="2" width="10.5" customWidth="1"/>
    <col min="3" max="4" width="13.375" customWidth="1"/>
    <col min="5" max="5" width="16" customWidth="1"/>
  </cols>
  <sheetData>
    <row r="1" spans="1:5">
      <c r="A1" s="3" t="s">
        <v>113</v>
      </c>
      <c r="B1" s="3" t="s">
        <v>112</v>
      </c>
      <c r="C1" s="3" t="s">
        <v>114</v>
      </c>
      <c r="D1" s="3" t="s">
        <v>115</v>
      </c>
      <c r="E1" s="3" t="s">
        <v>116</v>
      </c>
    </row>
    <row r="2" spans="1:5">
      <c r="A2">
        <v>0</v>
      </c>
      <c r="B2">
        <v>0</v>
      </c>
      <c r="C2" s="2">
        <f>2*480*480/((B2)+3*480)</f>
        <v>320</v>
      </c>
      <c r="D2" s="2">
        <f>480/C2</f>
        <v>1.5</v>
      </c>
      <c r="E2" s="4">
        <f>IF(ISNUMBER(E1),E1+D1,0)</f>
        <v>0</v>
      </c>
    </row>
    <row r="3" spans="1:5">
      <c r="A3">
        <v>1</v>
      </c>
      <c r="B3">
        <v>480</v>
      </c>
      <c r="C3" s="2">
        <f t="shared" ref="C3:C31" si="0">2*480*480/((B3)+3*480)</f>
        <v>240</v>
      </c>
      <c r="D3" s="2">
        <f t="shared" ref="D3:D32" si="1">480/C3</f>
        <v>2</v>
      </c>
      <c r="E3" s="4">
        <f>IF(ISNUMBER(E2),E2+D2,0)</f>
        <v>1.5</v>
      </c>
    </row>
    <row r="4" spans="1:5">
      <c r="A4">
        <v>2</v>
      </c>
      <c r="B4">
        <v>960</v>
      </c>
      <c r="C4" s="2">
        <f t="shared" si="0"/>
        <v>192</v>
      </c>
      <c r="D4" s="2">
        <f t="shared" si="1"/>
        <v>2.5</v>
      </c>
      <c r="E4" s="4">
        <f>IF(ISNUMBER(E3),E3+D3,0)</f>
        <v>3.5</v>
      </c>
    </row>
    <row r="5" spans="1:5">
      <c r="A5">
        <v>3</v>
      </c>
      <c r="B5">
        <v>1440</v>
      </c>
      <c r="C5" s="2">
        <f t="shared" si="0"/>
        <v>160</v>
      </c>
      <c r="D5" s="2">
        <f t="shared" si="1"/>
        <v>3</v>
      </c>
      <c r="E5" s="4">
        <f>IF(ISNUMBER(E4),E4+D4,0)</f>
        <v>6</v>
      </c>
    </row>
    <row r="6" spans="1:5">
      <c r="A6">
        <v>4</v>
      </c>
      <c r="B6">
        <v>1920</v>
      </c>
      <c r="C6" s="2">
        <f t="shared" si="0"/>
        <v>137.14285714285714</v>
      </c>
      <c r="D6" s="2">
        <f t="shared" si="1"/>
        <v>3.5</v>
      </c>
      <c r="E6" s="4">
        <f>IF(ISNUMBER(E5),E5+D5,0)</f>
        <v>9</v>
      </c>
    </row>
    <row r="7" spans="1:5">
      <c r="A7">
        <v>5</v>
      </c>
      <c r="B7">
        <v>2400</v>
      </c>
      <c r="C7" s="2">
        <f t="shared" si="0"/>
        <v>120</v>
      </c>
      <c r="D7" s="2">
        <f t="shared" si="1"/>
        <v>4</v>
      </c>
      <c r="E7" s="4">
        <f>IF(ISNUMBER(E6),E6+D6,0)</f>
        <v>12.5</v>
      </c>
    </row>
    <row r="8" spans="1:5">
      <c r="A8">
        <v>6</v>
      </c>
      <c r="B8">
        <v>2880</v>
      </c>
      <c r="C8" s="2">
        <f t="shared" si="0"/>
        <v>106.66666666666667</v>
      </c>
      <c r="D8" s="2">
        <f t="shared" si="1"/>
        <v>4.5</v>
      </c>
      <c r="E8" s="4">
        <f>IF(ISNUMBER(E7),E7+D7,0)</f>
        <v>16.5</v>
      </c>
    </row>
    <row r="9" spans="1:5">
      <c r="A9">
        <v>7</v>
      </c>
      <c r="B9">
        <v>3360</v>
      </c>
      <c r="C9" s="2">
        <f t="shared" si="0"/>
        <v>96</v>
      </c>
      <c r="D9" s="2">
        <f t="shared" si="1"/>
        <v>5</v>
      </c>
      <c r="E9" s="4">
        <f>IF(ISNUMBER(E8),E8+D8,0)</f>
        <v>21</v>
      </c>
    </row>
    <row r="10" spans="1:5">
      <c r="A10">
        <v>8</v>
      </c>
      <c r="B10">
        <v>3840</v>
      </c>
      <c r="C10" s="2">
        <f t="shared" si="0"/>
        <v>87.272727272727266</v>
      </c>
      <c r="D10" s="2">
        <f t="shared" si="1"/>
        <v>5.5</v>
      </c>
      <c r="E10" s="4">
        <f>IF(ISNUMBER(E9),E9+D9,0)</f>
        <v>26</v>
      </c>
    </row>
    <row r="11" spans="1:5">
      <c r="A11">
        <v>9</v>
      </c>
      <c r="B11">
        <v>4320</v>
      </c>
      <c r="C11" s="2">
        <f t="shared" si="0"/>
        <v>80</v>
      </c>
      <c r="D11" s="2">
        <f t="shared" si="1"/>
        <v>6</v>
      </c>
      <c r="E11" s="4">
        <f>IF(ISNUMBER(E10),E10+D10,0)</f>
        <v>31.5</v>
      </c>
    </row>
    <row r="12" spans="1:5">
      <c r="A12">
        <v>10</v>
      </c>
      <c r="B12">
        <v>4800</v>
      </c>
      <c r="C12" s="2">
        <f t="shared" si="0"/>
        <v>73.84615384615384</v>
      </c>
      <c r="D12" s="2">
        <f t="shared" si="1"/>
        <v>6.5000000000000009</v>
      </c>
      <c r="E12" s="4">
        <f>IF(ISNUMBER(E11),E11+D11,0)</f>
        <v>37.5</v>
      </c>
    </row>
    <row r="13" spans="1:5">
      <c r="A13">
        <v>11</v>
      </c>
      <c r="B13">
        <v>5280</v>
      </c>
      <c r="C13" s="2">
        <f t="shared" si="0"/>
        <v>68.571428571428569</v>
      </c>
      <c r="D13" s="2">
        <f t="shared" si="1"/>
        <v>7</v>
      </c>
      <c r="E13" s="4">
        <f>IF(ISNUMBER(E12),E12+D12,0)</f>
        <v>44</v>
      </c>
    </row>
    <row r="14" spans="1:5">
      <c r="A14">
        <v>12</v>
      </c>
      <c r="B14">
        <v>5760</v>
      </c>
      <c r="C14" s="2">
        <f t="shared" si="0"/>
        <v>64</v>
      </c>
      <c r="D14" s="2">
        <f t="shared" si="1"/>
        <v>7.5</v>
      </c>
      <c r="E14" s="4">
        <f t="shared" ref="E14:E31" si="2">IF(ISNUMBER(E13),E13+D13,0)</f>
        <v>51</v>
      </c>
    </row>
    <row r="15" spans="1:5">
      <c r="A15">
        <v>13</v>
      </c>
      <c r="B15">
        <v>6240</v>
      </c>
      <c r="C15" s="2">
        <f t="shared" si="0"/>
        <v>60</v>
      </c>
      <c r="D15" s="2">
        <f t="shared" si="1"/>
        <v>8</v>
      </c>
      <c r="E15" s="4">
        <f t="shared" si="2"/>
        <v>58.5</v>
      </c>
    </row>
    <row r="16" spans="1:5">
      <c r="A16">
        <v>14</v>
      </c>
      <c r="B16">
        <v>6720</v>
      </c>
      <c r="C16" s="2">
        <f t="shared" si="0"/>
        <v>56.470588235294116</v>
      </c>
      <c r="D16" s="2">
        <f t="shared" si="1"/>
        <v>8.5</v>
      </c>
      <c r="E16" s="4">
        <f t="shared" si="2"/>
        <v>66.5</v>
      </c>
    </row>
    <row r="17" spans="1:5">
      <c r="A17">
        <v>15</v>
      </c>
      <c r="B17">
        <v>7200</v>
      </c>
      <c r="C17" s="2">
        <f t="shared" si="0"/>
        <v>53.333333333333336</v>
      </c>
      <c r="D17" s="2">
        <f t="shared" si="1"/>
        <v>9</v>
      </c>
      <c r="E17" s="4">
        <f t="shared" si="2"/>
        <v>75</v>
      </c>
    </row>
    <row r="18" spans="1:5">
      <c r="A18">
        <v>16</v>
      </c>
      <c r="B18">
        <v>7680</v>
      </c>
      <c r="C18" s="2">
        <f t="shared" si="0"/>
        <v>50.526315789473685</v>
      </c>
      <c r="D18" s="2">
        <f t="shared" si="1"/>
        <v>9.5</v>
      </c>
      <c r="E18" s="4">
        <f t="shared" si="2"/>
        <v>84</v>
      </c>
    </row>
    <row r="19" spans="1:5">
      <c r="A19">
        <v>17</v>
      </c>
      <c r="B19">
        <v>8160</v>
      </c>
      <c r="C19" s="2">
        <f t="shared" si="0"/>
        <v>48</v>
      </c>
      <c r="D19" s="2">
        <f t="shared" si="1"/>
        <v>10</v>
      </c>
      <c r="E19" s="4">
        <f t="shared" si="2"/>
        <v>93.5</v>
      </c>
    </row>
    <row r="20" spans="1:5">
      <c r="A20">
        <v>18</v>
      </c>
      <c r="B20">
        <v>8640</v>
      </c>
      <c r="C20" s="2">
        <f t="shared" si="0"/>
        <v>45.714285714285715</v>
      </c>
      <c r="D20" s="2">
        <f t="shared" si="1"/>
        <v>10.5</v>
      </c>
      <c r="E20" s="4">
        <f t="shared" si="2"/>
        <v>103.5</v>
      </c>
    </row>
    <row r="21" spans="1:5">
      <c r="A21">
        <v>19</v>
      </c>
      <c r="B21">
        <v>9120</v>
      </c>
      <c r="C21" s="2">
        <f t="shared" si="0"/>
        <v>43.636363636363633</v>
      </c>
      <c r="D21" s="2">
        <f t="shared" si="1"/>
        <v>11</v>
      </c>
      <c r="E21" s="4">
        <f t="shared" si="2"/>
        <v>114</v>
      </c>
    </row>
    <row r="22" spans="1:5">
      <c r="A22">
        <v>20</v>
      </c>
      <c r="B22">
        <v>9600</v>
      </c>
      <c r="C22" s="2">
        <f t="shared" si="0"/>
        <v>41.739130434782609</v>
      </c>
      <c r="D22" s="2">
        <f t="shared" si="1"/>
        <v>11.5</v>
      </c>
      <c r="E22" s="4">
        <f t="shared" si="2"/>
        <v>125</v>
      </c>
    </row>
    <row r="23" spans="1:5">
      <c r="A23">
        <v>21</v>
      </c>
      <c r="B23">
        <v>10080</v>
      </c>
      <c r="C23" s="2">
        <f t="shared" si="0"/>
        <v>40</v>
      </c>
      <c r="D23" s="2">
        <f t="shared" si="1"/>
        <v>12</v>
      </c>
      <c r="E23" s="4">
        <f t="shared" si="2"/>
        <v>136.5</v>
      </c>
    </row>
    <row r="24" spans="1:5">
      <c r="A24">
        <v>22</v>
      </c>
      <c r="B24">
        <v>10560</v>
      </c>
      <c r="C24" s="2">
        <f t="shared" si="0"/>
        <v>38.4</v>
      </c>
      <c r="D24" s="2">
        <f t="shared" si="1"/>
        <v>12.5</v>
      </c>
      <c r="E24" s="4">
        <f t="shared" si="2"/>
        <v>148.5</v>
      </c>
    </row>
    <row r="25" spans="1:5">
      <c r="A25">
        <v>23</v>
      </c>
      <c r="B25">
        <v>11040</v>
      </c>
      <c r="C25" s="2">
        <f t="shared" si="0"/>
        <v>36.92307692307692</v>
      </c>
      <c r="D25" s="2">
        <f t="shared" si="1"/>
        <v>13.000000000000002</v>
      </c>
      <c r="E25" s="4">
        <f t="shared" si="2"/>
        <v>161</v>
      </c>
    </row>
    <row r="26" spans="1:5">
      <c r="A26">
        <v>24</v>
      </c>
      <c r="B26">
        <v>11520</v>
      </c>
      <c r="C26" s="2">
        <f t="shared" si="0"/>
        <v>35.555555555555557</v>
      </c>
      <c r="D26" s="2">
        <f t="shared" si="1"/>
        <v>13.5</v>
      </c>
      <c r="E26" s="4">
        <f t="shared" si="2"/>
        <v>174</v>
      </c>
    </row>
    <row r="27" spans="1:5">
      <c r="A27">
        <v>25</v>
      </c>
      <c r="B27">
        <v>12000</v>
      </c>
      <c r="C27" s="2">
        <f t="shared" si="0"/>
        <v>34.285714285714285</v>
      </c>
      <c r="D27" s="2">
        <f t="shared" si="1"/>
        <v>14</v>
      </c>
      <c r="E27" s="4">
        <f t="shared" si="2"/>
        <v>187.5</v>
      </c>
    </row>
    <row r="28" spans="1:5">
      <c r="A28">
        <v>26</v>
      </c>
      <c r="B28">
        <v>12480</v>
      </c>
      <c r="C28" s="2">
        <f t="shared" si="0"/>
        <v>33.103448275862071</v>
      </c>
      <c r="D28" s="2">
        <f t="shared" si="1"/>
        <v>14.499999999999998</v>
      </c>
      <c r="E28" s="4">
        <f t="shared" si="2"/>
        <v>201.5</v>
      </c>
    </row>
    <row r="29" spans="1:5">
      <c r="A29">
        <v>27</v>
      </c>
      <c r="B29">
        <v>12960</v>
      </c>
      <c r="C29" s="2">
        <f t="shared" si="0"/>
        <v>32</v>
      </c>
      <c r="D29" s="2">
        <f t="shared" si="1"/>
        <v>15</v>
      </c>
      <c r="E29" s="4">
        <f t="shared" si="2"/>
        <v>216</v>
      </c>
    </row>
    <row r="30" spans="1:5">
      <c r="A30">
        <v>28</v>
      </c>
      <c r="B30">
        <v>13440</v>
      </c>
      <c r="C30" s="2">
        <f t="shared" si="0"/>
        <v>30.967741935483872</v>
      </c>
      <c r="D30" s="2">
        <f t="shared" si="1"/>
        <v>15.5</v>
      </c>
      <c r="E30" s="4">
        <f t="shared" si="2"/>
        <v>231</v>
      </c>
    </row>
    <row r="31" spans="1:5">
      <c r="A31">
        <v>29</v>
      </c>
      <c r="B31">
        <v>13920</v>
      </c>
      <c r="C31" s="2">
        <f t="shared" si="0"/>
        <v>30</v>
      </c>
      <c r="D31" s="2">
        <f t="shared" si="1"/>
        <v>16</v>
      </c>
      <c r="E31" s="4">
        <f t="shared" si="2"/>
        <v>246.5</v>
      </c>
    </row>
    <row r="32" spans="1:5">
      <c r="A32">
        <v>30</v>
      </c>
      <c r="B32">
        <v>14400</v>
      </c>
      <c r="C32" s="2">
        <f>2*480*480/((B32)+3*480)</f>
        <v>29.09090909090909</v>
      </c>
      <c r="D32" s="2">
        <f t="shared" si="1"/>
        <v>16.5</v>
      </c>
      <c r="E32" s="4">
        <f>IF(ISNUMBER(E31),E31+D31,0)</f>
        <v>262.5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护甲计算</vt:lpstr>
      <vt:lpstr>英雄经验</vt:lpstr>
      <vt:lpstr>区域设定</vt:lpstr>
      <vt:lpstr>怪物设定</vt:lpstr>
      <vt:lpstr>BOSS设定</vt:lpstr>
      <vt:lpstr>怪物点坐标</vt:lpstr>
    </vt:vector>
  </TitlesOfParts>
  <Company>微软中国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Louis</cp:lastModifiedBy>
  <dcterms:created xsi:type="dcterms:W3CDTF">2010-09-14T14:46:46Z</dcterms:created>
  <dcterms:modified xsi:type="dcterms:W3CDTF">2019-03-09T18:04:31Z</dcterms:modified>
</cp:coreProperties>
</file>