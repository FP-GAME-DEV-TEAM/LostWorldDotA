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0" windowWidth="19200" windowHeight="11640" activeTab="1"/>
  </bookViews>
  <sheets>
    <sheet name="基础字符串" sheetId="4" r:id="rId1"/>
    <sheet name="测试装备列表" sheetId="1" r:id="rId2"/>
    <sheet name="正式装备列表" sheetId="2" r:id="rId3"/>
    <sheet name="合成公式列表" sheetId="3" r:id="rId4"/>
    <sheet name="材料列表" sheetId="5" r:id="rId5"/>
    <sheet name="消耗品列表" sheetId="6" r:id="rId6"/>
  </sheets>
  <functionGroups/>
  <calcPr calcId="124519"/>
</workbook>
</file>

<file path=xl/calcChain.xml><?xml version="1.0" encoding="utf-8"?>
<calcChain xmlns="http://schemas.openxmlformats.org/spreadsheetml/2006/main">
  <c r="V76" i="1"/>
  <c r="V77"/>
  <c r="V78"/>
  <c r="U76"/>
  <c r="U77"/>
  <c r="U78"/>
  <c r="U75"/>
  <c r="T2"/>
  <c r="W15"/>
  <c r="T23"/>
  <c r="U7"/>
  <c r="U23"/>
  <c r="U65"/>
  <c r="T5"/>
  <c r="T68"/>
  <c r="U19"/>
  <c r="T27"/>
  <c r="U28"/>
  <c r="T55"/>
  <c r="T65"/>
  <c r="U30"/>
  <c r="T31"/>
  <c r="U20"/>
  <c r="T43"/>
  <c r="U39"/>
  <c r="T41"/>
  <c r="U64"/>
  <c r="U53"/>
  <c r="U33"/>
  <c r="V33"/>
  <c r="T36"/>
  <c r="W70"/>
  <c r="T47"/>
  <c r="W8"/>
  <c r="U46"/>
  <c r="W16"/>
  <c r="T62"/>
  <c r="U22"/>
  <c r="W53"/>
  <c r="W9"/>
  <c r="W57"/>
  <c r="W7"/>
  <c r="T63"/>
  <c r="T15"/>
  <c r="V23"/>
  <c r="W18"/>
  <c r="V22"/>
  <c r="T71"/>
  <c r="T20"/>
  <c r="W33"/>
  <c r="T37"/>
  <c r="W17"/>
  <c r="T6"/>
  <c r="W60"/>
  <c r="U50"/>
  <c r="W54"/>
  <c r="W38"/>
  <c r="U21"/>
  <c r="W73"/>
  <c r="U13"/>
  <c r="T12"/>
  <c r="T16"/>
  <c r="W4"/>
  <c r="U14"/>
  <c r="W52"/>
  <c r="U58"/>
  <c r="T44"/>
  <c r="T54"/>
  <c r="U74"/>
  <c r="U29"/>
  <c r="T33"/>
  <c r="T69"/>
  <c r="U17"/>
  <c r="U48"/>
  <c r="U62"/>
  <c r="W28"/>
  <c r="U57"/>
  <c r="U11"/>
  <c r="V11" s="1"/>
  <c r="U4"/>
  <c r="W30"/>
  <c r="W61"/>
  <c r="T73"/>
  <c r="W12"/>
  <c r="T40"/>
  <c r="W47"/>
  <c r="U2"/>
  <c r="V53"/>
  <c r="T3"/>
  <c r="T32"/>
  <c r="U6"/>
  <c r="V13"/>
  <c r="V75"/>
  <c r="W3"/>
  <c r="T61"/>
  <c r="T17"/>
  <c r="T34"/>
  <c r="W43"/>
  <c r="U25"/>
  <c r="W25"/>
  <c r="W24"/>
  <c r="U10"/>
  <c r="W23"/>
  <c r="W62"/>
  <c r="U3"/>
  <c r="W21"/>
  <c r="W2"/>
  <c r="V50"/>
  <c r="U27"/>
  <c r="W32"/>
  <c r="T67"/>
  <c r="U66"/>
  <c r="W64"/>
  <c r="T13"/>
  <c r="W27"/>
  <c r="W45"/>
  <c r="W6"/>
  <c r="V4"/>
  <c r="V74"/>
  <c r="W37"/>
  <c r="U67"/>
  <c r="V67" s="1"/>
  <c r="T21"/>
  <c r="W13"/>
  <c r="T57"/>
  <c r="U71"/>
  <c r="W50"/>
  <c r="T10"/>
  <c r="T9"/>
  <c r="T26"/>
  <c r="T38"/>
  <c r="T28"/>
  <c r="U24"/>
  <c r="V24" s="1"/>
  <c r="T70"/>
  <c r="V19"/>
  <c r="W49"/>
  <c r="U70"/>
  <c r="W29"/>
  <c r="V17"/>
  <c r="W74"/>
  <c r="T7"/>
  <c r="U54"/>
  <c r="U32"/>
  <c r="V32" s="1"/>
  <c r="T8"/>
  <c r="U72"/>
  <c r="W78"/>
  <c r="W46"/>
  <c r="U8"/>
  <c r="V8" s="1"/>
  <c r="W26"/>
  <c r="U5"/>
  <c r="W14"/>
  <c r="U26"/>
  <c r="T59"/>
  <c r="T46"/>
  <c r="U56"/>
  <c r="V56" s="1"/>
  <c r="W69"/>
  <c r="V5"/>
  <c r="W55"/>
  <c r="V46"/>
  <c r="W65"/>
  <c r="W72"/>
  <c r="T24"/>
  <c r="T18"/>
  <c r="T53"/>
  <c r="T4"/>
  <c r="T39"/>
  <c r="U36"/>
  <c r="V36" s="1"/>
  <c r="T51"/>
  <c r="T66"/>
  <c r="U63"/>
  <c r="W77"/>
  <c r="U47"/>
  <c r="V47" s="1"/>
  <c r="W56"/>
  <c r="T35"/>
  <c r="U42"/>
  <c r="T52"/>
  <c r="T64"/>
  <c r="T72"/>
  <c r="W48"/>
  <c r="U61"/>
  <c r="V61" s="1"/>
  <c r="W40"/>
  <c r="U31"/>
  <c r="V31" s="1"/>
  <c r="U49"/>
  <c r="U15"/>
  <c r="V15" s="1"/>
  <c r="T42"/>
  <c r="U45"/>
  <c r="V45" s="1"/>
  <c r="W36"/>
  <c r="V71"/>
  <c r="W34"/>
  <c r="U59"/>
  <c r="V21"/>
  <c r="W10"/>
  <c r="T14"/>
  <c r="T45"/>
  <c r="V7"/>
  <c r="U34"/>
  <c r="W11"/>
  <c r="U16"/>
  <c r="V16" s="1"/>
  <c r="V3"/>
  <c r="W76"/>
  <c r="V64"/>
  <c r="U38"/>
  <c r="V38" s="1"/>
  <c r="T58"/>
  <c r="U35"/>
  <c r="V35" s="1"/>
  <c r="W68"/>
  <c r="T56"/>
  <c r="U68"/>
  <c r="V68" s="1"/>
  <c r="U73"/>
  <c r="V73" s="1"/>
  <c r="U12"/>
  <c r="U55"/>
  <c r="V55" s="1"/>
  <c r="U43"/>
  <c r="W71"/>
  <c r="W44"/>
  <c r="T30"/>
  <c r="U9"/>
  <c r="V9" s="1"/>
  <c r="U18"/>
  <c r="V18" s="1"/>
  <c r="W5"/>
  <c r="U37"/>
  <c r="V37" s="1"/>
  <c r="T60"/>
  <c r="V2"/>
  <c r="V65"/>
  <c r="W31"/>
  <c r="U60"/>
  <c r="V60" s="1"/>
  <c r="T11"/>
  <c r="U40"/>
  <c r="V40" s="1"/>
  <c r="V14"/>
  <c r="T50"/>
  <c r="W20"/>
  <c r="V54"/>
  <c r="W75"/>
  <c r="W67"/>
  <c r="U69"/>
  <c r="V69" s="1"/>
  <c r="T49"/>
  <c r="W51"/>
  <c r="W63"/>
  <c r="W41"/>
  <c r="T22"/>
  <c r="W42"/>
  <c r="W22"/>
  <c r="V48"/>
  <c r="T19"/>
  <c r="U52"/>
  <c r="V52" s="1"/>
  <c r="W66"/>
  <c r="T25"/>
  <c r="V28"/>
  <c r="W59"/>
  <c r="U41"/>
  <c r="V41" s="1"/>
  <c r="T48"/>
  <c r="U44"/>
  <c r="V66"/>
  <c r="W39"/>
  <c r="T29"/>
  <c r="W19"/>
  <c r="U51"/>
  <c r="V51" s="1"/>
  <c r="W58"/>
  <c r="W35"/>
  <c r="V70"/>
  <c r="V72"/>
  <c r="V30"/>
  <c r="V26"/>
  <c r="V20"/>
  <c r="V39"/>
  <c r="V42"/>
  <c r="V49"/>
  <c r="V59"/>
  <c r="V34"/>
  <c r="V12"/>
  <c r="V43"/>
  <c r="V44"/>
  <c r="V27"/>
  <c r="V63"/>
  <c r="V58"/>
  <c r="V29"/>
  <c r="V62"/>
  <c r="V57"/>
  <c r="V6"/>
  <c r="V25"/>
  <c r="V10"/>
</calcChain>
</file>

<file path=xl/sharedStrings.xml><?xml version="1.0" encoding="utf-8"?>
<sst xmlns="http://schemas.openxmlformats.org/spreadsheetml/2006/main" count="859" uniqueCount="513">
  <si>
    <t>属性1</t>
    <phoneticPr fontId="1" type="noConversion"/>
  </si>
  <si>
    <t>属性2</t>
    <phoneticPr fontId="1" type="noConversion"/>
  </si>
  <si>
    <t>属性3</t>
    <phoneticPr fontId="1" type="noConversion"/>
  </si>
  <si>
    <t>属性4</t>
    <phoneticPr fontId="1" type="noConversion"/>
  </si>
  <si>
    <t>属性5</t>
    <phoneticPr fontId="1" type="noConversion"/>
  </si>
  <si>
    <t>属性6</t>
    <phoneticPr fontId="1" type="noConversion"/>
  </si>
  <si>
    <t>雷神之锤</t>
  </si>
  <si>
    <t>符文魔剑</t>
  </si>
  <si>
    <t>恶魔之击</t>
  </si>
  <si>
    <t>手持火炮EX型</t>
  </si>
  <si>
    <t>守护者长弓</t>
  </si>
  <si>
    <t>灰烬使者</t>
    <phoneticPr fontId="1" type="noConversion"/>
  </si>
  <si>
    <t>熔岩战斧</t>
    <phoneticPr fontId="1" type="noConversion"/>
  </si>
  <si>
    <t>毁灭巨剑</t>
    <phoneticPr fontId="1" type="noConversion"/>
  </si>
  <si>
    <t>力量</t>
    <phoneticPr fontId="1" type="noConversion"/>
  </si>
  <si>
    <t>智力</t>
    <phoneticPr fontId="1" type="noConversion"/>
  </si>
  <si>
    <t>敏捷</t>
    <phoneticPr fontId="1" type="noConversion"/>
  </si>
  <si>
    <t>邪能颅骨</t>
    <phoneticPr fontId="1" type="noConversion"/>
  </si>
  <si>
    <t>亡者之书</t>
    <phoneticPr fontId="1" type="noConversion"/>
  </si>
  <si>
    <t>神圣法典</t>
    <phoneticPr fontId="1" type="noConversion"/>
  </si>
  <si>
    <t>元素魔杖</t>
    <phoneticPr fontId="1" type="noConversion"/>
  </si>
  <si>
    <t>黑暗法杖</t>
    <phoneticPr fontId="1" type="noConversion"/>
  </si>
  <si>
    <t>皇家权杖</t>
    <phoneticPr fontId="1" type="noConversion"/>
  </si>
  <si>
    <t>统御法杖</t>
    <phoneticPr fontId="1" type="noConversion"/>
  </si>
  <si>
    <t>寒冰宝珠</t>
    <phoneticPr fontId="1" type="noConversion"/>
  </si>
  <si>
    <t>闪电宝珠</t>
    <phoneticPr fontId="1" type="noConversion"/>
  </si>
  <si>
    <t>德鲁伊利爪</t>
    <phoneticPr fontId="1" type="noConversion"/>
  </si>
  <si>
    <t>通用</t>
    <phoneticPr fontId="1" type="noConversion"/>
  </si>
  <si>
    <t>主手</t>
    <phoneticPr fontId="1" type="noConversion"/>
  </si>
  <si>
    <t>副手</t>
    <phoneticPr fontId="1" type="noConversion"/>
  </si>
  <si>
    <t>骑士团战盔</t>
    <phoneticPr fontId="1" type="noConversion"/>
  </si>
  <si>
    <t>黑铁头盔</t>
    <phoneticPr fontId="1" type="noConversion"/>
  </si>
  <si>
    <t>狂暴者之盔</t>
    <phoneticPr fontId="1" type="noConversion"/>
  </si>
  <si>
    <t>虔诚头冠</t>
    <phoneticPr fontId="1" type="noConversion"/>
  </si>
  <si>
    <t>艺人面罩</t>
    <phoneticPr fontId="1" type="noConversion"/>
  </si>
  <si>
    <t>咒术师兜帽</t>
    <phoneticPr fontId="1" type="noConversion"/>
  </si>
  <si>
    <t>潜行者兜帽</t>
    <phoneticPr fontId="1" type="noConversion"/>
  </si>
  <si>
    <t>幽魂头冠</t>
    <phoneticPr fontId="1" type="noConversion"/>
  </si>
  <si>
    <t>好战者面具</t>
    <phoneticPr fontId="1" type="noConversion"/>
  </si>
  <si>
    <t>巫毒面具</t>
    <phoneticPr fontId="1" type="noConversion"/>
  </si>
  <si>
    <t>贵族圆环</t>
    <phoneticPr fontId="1" type="noConversion"/>
  </si>
  <si>
    <t>头部</t>
    <phoneticPr fontId="1" type="noConversion"/>
  </si>
  <si>
    <t>征服者铠甲</t>
    <phoneticPr fontId="1" type="noConversion"/>
  </si>
  <si>
    <t>地穴领主的甲壳</t>
    <phoneticPr fontId="1" type="noConversion"/>
  </si>
  <si>
    <t>大地长袍</t>
    <phoneticPr fontId="1" type="noConversion"/>
  </si>
  <si>
    <t>博学者长袍</t>
    <phoneticPr fontId="1" type="noConversion"/>
  </si>
  <si>
    <t>黑暗符文板甲</t>
    <phoneticPr fontId="1" type="noConversion"/>
  </si>
  <si>
    <t>月神法袍</t>
    <phoneticPr fontId="1" type="noConversion"/>
  </si>
  <si>
    <t>高地人肩甲</t>
    <phoneticPr fontId="1" type="noConversion"/>
  </si>
  <si>
    <t>身体</t>
  </si>
  <si>
    <t>执行者外套</t>
    <phoneticPr fontId="1" type="noConversion"/>
  </si>
  <si>
    <t>龙皮胸甲</t>
    <phoneticPr fontId="1" type="noConversion"/>
  </si>
  <si>
    <t>力量之冠</t>
    <phoneticPr fontId="1" type="noConversion"/>
  </si>
  <si>
    <t>黑石棍</t>
    <phoneticPr fontId="1" type="noConversion"/>
  </si>
  <si>
    <t>刺杀之爪</t>
    <phoneticPr fontId="1" type="noConversion"/>
  </si>
  <si>
    <t>急速手套</t>
    <phoneticPr fontId="1" type="noConversion"/>
  </si>
  <si>
    <t>死亡之握</t>
    <phoneticPr fontId="1" type="noConversion"/>
  </si>
  <si>
    <t>符文护腕</t>
    <phoneticPr fontId="1" type="noConversion"/>
  </si>
  <si>
    <t>狂热护手</t>
    <phoneticPr fontId="1" type="noConversion"/>
  </si>
  <si>
    <t>手</t>
    <phoneticPr fontId="1" type="noConversion"/>
  </si>
  <si>
    <t>动力鞋</t>
    <phoneticPr fontId="1" type="noConversion"/>
  </si>
  <si>
    <t>蛛丝鞋</t>
    <phoneticPr fontId="1" type="noConversion"/>
  </si>
  <si>
    <t>速度之靴</t>
    <phoneticPr fontId="1" type="noConversion"/>
  </si>
  <si>
    <t>脚</t>
    <phoneticPr fontId="1" type="noConversion"/>
  </si>
  <si>
    <t>装备ID</t>
    <phoneticPr fontId="1" type="noConversion"/>
  </si>
  <si>
    <t>call SaveInteger</t>
    <phoneticPr fontId="1" type="noConversion"/>
  </si>
  <si>
    <t>udg_DT</t>
    <phoneticPr fontId="1" type="noConversion"/>
  </si>
  <si>
    <t>品阶</t>
    <phoneticPr fontId="1" type="noConversion"/>
  </si>
  <si>
    <t>类型</t>
    <phoneticPr fontId="1" type="noConversion"/>
  </si>
  <si>
    <t>限制</t>
    <phoneticPr fontId="1" type="noConversion"/>
  </si>
  <si>
    <t>名称</t>
    <phoneticPr fontId="1" type="noConversion"/>
  </si>
  <si>
    <t>史诗</t>
    <phoneticPr fontId="1" type="noConversion"/>
  </si>
  <si>
    <t>触发语句</t>
    <phoneticPr fontId="1" type="noConversion"/>
  </si>
  <si>
    <t>功能1</t>
    <phoneticPr fontId="1" type="noConversion"/>
  </si>
  <si>
    <t>功能2</t>
    <phoneticPr fontId="1" type="noConversion"/>
  </si>
  <si>
    <t>功能3</t>
  </si>
  <si>
    <t>文本-名字</t>
    <phoneticPr fontId="1" type="noConversion"/>
  </si>
  <si>
    <t>文本-说明</t>
    <phoneticPr fontId="1" type="noConversion"/>
  </si>
  <si>
    <t>介绍</t>
    <phoneticPr fontId="1" type="noConversion"/>
  </si>
  <si>
    <t>文本-详细信息</t>
    <phoneticPr fontId="1" type="noConversion"/>
  </si>
  <si>
    <t>ITA0</t>
    <phoneticPr fontId="1" type="noConversion"/>
  </si>
  <si>
    <t>ITA1</t>
  </si>
  <si>
    <t>ITA2</t>
  </si>
  <si>
    <t>ITA3</t>
  </si>
  <si>
    <t>ITA4</t>
  </si>
  <si>
    <t>ITA5</t>
  </si>
  <si>
    <t>ITA6</t>
  </si>
  <si>
    <t>ITA7</t>
  </si>
  <si>
    <t>ITA8</t>
  </si>
  <si>
    <t>ITA9</t>
  </si>
  <si>
    <t>ITAA</t>
    <phoneticPr fontId="1" type="noConversion"/>
  </si>
  <si>
    <t>ITAB</t>
    <phoneticPr fontId="1" type="noConversion"/>
  </si>
  <si>
    <t>ITB0</t>
    <phoneticPr fontId="1" type="noConversion"/>
  </si>
  <si>
    <t>ITB1</t>
  </si>
  <si>
    <t>ITB2</t>
  </si>
  <si>
    <t>ITB3</t>
  </si>
  <si>
    <t>ITB4</t>
  </si>
  <si>
    <t>ITB5</t>
  </si>
  <si>
    <t>ITB6</t>
  </si>
  <si>
    <t>ITB7</t>
  </si>
  <si>
    <t>ITB8</t>
  </si>
  <si>
    <t>ITB9</t>
  </si>
  <si>
    <t>ITBA</t>
    <phoneticPr fontId="1" type="noConversion"/>
  </si>
  <si>
    <t>ITBB</t>
    <phoneticPr fontId="1" type="noConversion"/>
  </si>
  <si>
    <t>ITC0</t>
    <phoneticPr fontId="1" type="noConversion"/>
  </si>
  <si>
    <t>ITC1</t>
  </si>
  <si>
    <t>ITC2</t>
  </si>
  <si>
    <t>ITC3</t>
  </si>
  <si>
    <t>ITC4</t>
  </si>
  <si>
    <t>ITC5</t>
  </si>
  <si>
    <t>ITC6</t>
  </si>
  <si>
    <t>ITC7</t>
  </si>
  <si>
    <t>ITC8</t>
  </si>
  <si>
    <t>ITC9</t>
  </si>
  <si>
    <t>ITCA</t>
    <phoneticPr fontId="1" type="noConversion"/>
  </si>
  <si>
    <t>ITCB</t>
    <phoneticPr fontId="1" type="noConversion"/>
  </si>
  <si>
    <t>ITD0</t>
    <phoneticPr fontId="1" type="noConversion"/>
  </si>
  <si>
    <t>ITD1</t>
  </si>
  <si>
    <t>ITD2</t>
  </si>
  <si>
    <t>ITD3</t>
  </si>
  <si>
    <t>ITD4</t>
  </si>
  <si>
    <t>ITD5</t>
  </si>
  <si>
    <t>ITD6</t>
  </si>
  <si>
    <t>ITD7</t>
  </si>
  <si>
    <t>ITD8</t>
  </si>
  <si>
    <t>ITE0</t>
    <phoneticPr fontId="1" type="noConversion"/>
  </si>
  <si>
    <t>ITE1</t>
  </si>
  <si>
    <t>ITE2</t>
  </si>
  <si>
    <t>ITE3</t>
  </si>
  <si>
    <t>ITE4</t>
  </si>
  <si>
    <t>ITE5</t>
  </si>
  <si>
    <t>ITF0</t>
    <phoneticPr fontId="1" type="noConversion"/>
  </si>
  <si>
    <t>ITF1</t>
  </si>
  <si>
    <t>ITF2</t>
  </si>
  <si>
    <t>ITF3</t>
  </si>
  <si>
    <t>功能4</t>
    <phoneticPr fontId="1" type="noConversion"/>
  </si>
  <si>
    <t>力量+40</t>
  </si>
  <si>
    <t>敏捷+20</t>
  </si>
  <si>
    <t>力量+60</t>
  </si>
  <si>
    <t>力量+50</t>
  </si>
  <si>
    <t>智力+20</t>
  </si>
  <si>
    <t>力量+20</t>
  </si>
  <si>
    <t>智力+40</t>
  </si>
  <si>
    <t>智力+60</t>
  </si>
  <si>
    <t>智力+50</t>
  </si>
  <si>
    <t>敏捷+40</t>
  </si>
  <si>
    <t>敏捷+60</t>
  </si>
  <si>
    <t>敏捷+50</t>
  </si>
  <si>
    <t>暴击+4</t>
    <phoneticPr fontId="1" type="noConversion"/>
  </si>
  <si>
    <t>重击+4</t>
    <phoneticPr fontId="1" type="noConversion"/>
  </si>
  <si>
    <t>|r</t>
    <phoneticPr fontId="1" type="noConversion"/>
  </si>
  <si>
    <t>|n</t>
    <phoneticPr fontId="1" type="noConversion"/>
  </si>
  <si>
    <t>无双</t>
  </si>
  <si>
    <t>旷世</t>
  </si>
  <si>
    <t>传说</t>
  </si>
  <si>
    <t>卓越</t>
  </si>
  <si>
    <t>精良</t>
  </si>
  <si>
    <t>|cffffcc00属性：|r</t>
    <phoneticPr fontId="1" type="noConversion"/>
  </si>
  <si>
    <t>|cff00ccff功能：|r</t>
    <phoneticPr fontId="1" type="noConversion"/>
  </si>
  <si>
    <t>高阶督军使用的沉重武器，削铁如泥。</t>
  </si>
  <si>
    <t>这把锋利的战斧铸造于熔火之心深处，融合了烈焰的精华。</t>
  </si>
  <si>
    <t>传说中的圣骑士“埃斯迪蒙”使用过的战锤。</t>
  </si>
  <si>
    <t>传说拥有这柄法杖的人可以统御任何魔法能量。</t>
    <phoneticPr fontId="1" type="noConversion"/>
  </si>
  <si>
    <t>死灵法师曾经使用的法杖，是黑暗力量的象征。</t>
    <phoneticPr fontId="1" type="noConversion"/>
  </si>
  <si>
    <t>元素萨满始祖曾经使用过的魔杖，性能均衡威力强大。</t>
    <phoneticPr fontId="1" type="noConversion"/>
  </si>
  <si>
    <t>血色十字军领袖之剑，其使者也成为了永恒的传说。</t>
    <phoneticPr fontId="1" type="noConversion"/>
  </si>
  <si>
    <t>枪托上刻着：铁炉堡制造 - 铜须酒类与炸药有限公司。</t>
    <phoneticPr fontId="1" type="noConversion"/>
  </si>
  <si>
    <t>上一任月之女祭司泰兰德的战弓，受到了月神的祝福。</t>
    <phoneticPr fontId="1" type="noConversion"/>
  </si>
  <si>
    <t>部落战旗</t>
    <phoneticPr fontId="1" type="noConversion"/>
  </si>
  <si>
    <t>军团壁垒</t>
    <phoneticPr fontId="1" type="noConversion"/>
  </si>
  <si>
    <t>生命+400</t>
    <phoneticPr fontId="1" type="noConversion"/>
  </si>
  <si>
    <t>敏捷+10</t>
    <phoneticPr fontId="1" type="noConversion"/>
  </si>
  <si>
    <t>生命+200</t>
    <phoneticPr fontId="1" type="noConversion"/>
  </si>
  <si>
    <t>魔法+400</t>
    <phoneticPr fontId="1" type="noConversion"/>
  </si>
  <si>
    <t>智力+20</t>
    <phoneticPr fontId="1" type="noConversion"/>
  </si>
  <si>
    <t>智力+30</t>
    <phoneticPr fontId="1" type="noConversion"/>
  </si>
  <si>
    <t>力量+10</t>
    <phoneticPr fontId="1" type="noConversion"/>
  </si>
  <si>
    <t>魔法+300</t>
    <phoneticPr fontId="1" type="noConversion"/>
  </si>
  <si>
    <t>生命</t>
    <phoneticPr fontId="1" type="noConversion"/>
  </si>
  <si>
    <t>魔法</t>
    <phoneticPr fontId="1" type="noConversion"/>
  </si>
  <si>
    <t>攻击</t>
  </si>
  <si>
    <t>护甲</t>
  </si>
  <si>
    <t>攻速</t>
  </si>
  <si>
    <t>移速</t>
  </si>
  <si>
    <t>全能</t>
  </si>
  <si>
    <t>力量</t>
  </si>
  <si>
    <t>敏捷</t>
  </si>
  <si>
    <t>智力</t>
  </si>
  <si>
    <t>抗性</t>
  </si>
  <si>
    <t>偏斜</t>
  </si>
  <si>
    <t>闪避</t>
  </si>
  <si>
    <t>反伤</t>
  </si>
  <si>
    <t>格挡</t>
  </si>
  <si>
    <t>重击</t>
  </si>
  <si>
    <t>暴击</t>
  </si>
  <si>
    <t>冰霜</t>
  </si>
  <si>
    <t>烈焰</t>
  </si>
  <si>
    <t>闪电</t>
  </si>
  <si>
    <t>毒药</t>
  </si>
  <si>
    <t>腐蚀</t>
  </si>
  <si>
    <t>破魔</t>
  </si>
  <si>
    <t>噬魂</t>
  </si>
  <si>
    <t>回血</t>
  </si>
  <si>
    <t>回魔</t>
  </si>
  <si>
    <t>补血</t>
  </si>
  <si>
    <t>补魔</t>
  </si>
  <si>
    <t>1-65535</t>
    <phoneticPr fontId="1" type="noConversion"/>
  </si>
  <si>
    <t>1-1023</t>
    <phoneticPr fontId="1" type="noConversion"/>
  </si>
  <si>
    <t>1-63</t>
    <phoneticPr fontId="1" type="noConversion"/>
  </si>
  <si>
    <t>1-255</t>
    <phoneticPr fontId="1" type="noConversion"/>
  </si>
  <si>
    <t>1-8</t>
    <phoneticPr fontId="1" type="noConversion"/>
  </si>
  <si>
    <t>1-4</t>
    <phoneticPr fontId="1" type="noConversion"/>
  </si>
  <si>
    <t>魔龙之心</t>
  </si>
  <si>
    <t>战斗大师的意志</t>
  </si>
  <si>
    <t>探险者的灯笼</t>
  </si>
  <si>
    <t>暴风城号角</t>
  </si>
  <si>
    <t>部落战鼓</t>
  </si>
  <si>
    <t>奥术圆球</t>
  </si>
  <si>
    <t>噬魂戒指</t>
  </si>
  <si>
    <t>ITG0</t>
    <phoneticPr fontId="1" type="noConversion"/>
  </si>
  <si>
    <t>ITG1</t>
  </si>
  <si>
    <t>ITG2</t>
  </si>
  <si>
    <t>ITG3</t>
  </si>
  <si>
    <t>ITG4</t>
  </si>
  <si>
    <t>ITG5</t>
  </si>
  <si>
    <t>ITG6</t>
  </si>
  <si>
    <t>ITG7</t>
  </si>
  <si>
    <t>饰品</t>
    <phoneticPr fontId="1" type="noConversion"/>
  </si>
  <si>
    <t>优秀</t>
    <phoneticPr fontId="1" type="noConversion"/>
  </si>
  <si>
    <t>全能+10</t>
    <phoneticPr fontId="1" type="noConversion"/>
  </si>
  <si>
    <t>生命+300</t>
    <phoneticPr fontId="1" type="noConversion"/>
  </si>
  <si>
    <t>魔法+200</t>
    <phoneticPr fontId="1" type="noConversion"/>
  </si>
  <si>
    <t>生命+500</t>
    <phoneticPr fontId="1" type="noConversion"/>
  </si>
  <si>
    <t>格挡+4</t>
    <phoneticPr fontId="1" type="noConversion"/>
  </si>
  <si>
    <t>回血+10</t>
    <phoneticPr fontId="1" type="noConversion"/>
  </si>
  <si>
    <t>敏捷+20</t>
    <phoneticPr fontId="1" type="noConversion"/>
  </si>
  <si>
    <t>寒冰+4</t>
    <phoneticPr fontId="1" type="noConversion"/>
  </si>
  <si>
    <t>闪电+4</t>
    <phoneticPr fontId="1" type="noConversion"/>
  </si>
  <si>
    <t>萨鲁法尔曾经用过的盾牌，可以格挡开任何有威胁的攻击。</t>
  </si>
  <si>
    <t>骷髅王李奥瑞克的骸骨盾牌，上面布满了盾刺。</t>
    <phoneticPr fontId="1" type="noConversion"/>
  </si>
  <si>
    <t>骸骨墙盾</t>
    <phoneticPr fontId="1" type="noConversion"/>
  </si>
  <si>
    <t>闪避+4</t>
    <phoneticPr fontId="1" type="noConversion"/>
  </si>
  <si>
    <t>奥格瑞玛的军旗，随着部落的英雄们参与了无数次的战斗。</t>
    <phoneticPr fontId="1" type="noConversion"/>
  </si>
  <si>
    <t>这柄由黑铁打造的棍棒铸造于黑石深渊的深处。</t>
    <phoneticPr fontId="1" type="noConversion"/>
  </si>
  <si>
    <t>刺客们的最爱的凶器之一，常常和毒药配合使用。</t>
    <phoneticPr fontId="1" type="noConversion"/>
  </si>
  <si>
    <t>德鲁伊们所使用的附过魔的兽爪，其中蕴含了强大的自然力量。</t>
    <phoneticPr fontId="1" type="noConversion"/>
  </si>
  <si>
    <t>攻击+150</t>
    <phoneticPr fontId="1" type="noConversion"/>
  </si>
  <si>
    <t>攻击+130</t>
    <phoneticPr fontId="1" type="noConversion"/>
  </si>
  <si>
    <t>攻击+180</t>
    <phoneticPr fontId="1" type="noConversion"/>
  </si>
  <si>
    <t>攻击+170</t>
    <phoneticPr fontId="1" type="noConversion"/>
  </si>
  <si>
    <t>等级</t>
    <phoneticPr fontId="1" type="noConversion"/>
  </si>
  <si>
    <t>类型限制：</t>
    <phoneticPr fontId="1" type="noConversion"/>
  </si>
  <si>
    <t>等级品质：</t>
    <phoneticPr fontId="1" type="noConversion"/>
  </si>
  <si>
    <t>|cffffffff</t>
    <phoneticPr fontId="1" type="noConversion"/>
  </si>
  <si>
    <t>|cff00ff00</t>
    <phoneticPr fontId="1" type="noConversion"/>
  </si>
  <si>
    <t>|cff00ff88</t>
    <phoneticPr fontId="1" type="noConversion"/>
  </si>
  <si>
    <t>|cff0088ff</t>
    <phoneticPr fontId="1" type="noConversion"/>
  </si>
  <si>
    <t>|cff8800ff</t>
    <phoneticPr fontId="1" type="noConversion"/>
  </si>
  <si>
    <t>|cffff0088</t>
    <phoneticPr fontId="1" type="noConversion"/>
  </si>
  <si>
    <t>|cffffcc00</t>
    <phoneticPr fontId="1" type="noConversion"/>
  </si>
  <si>
    <t>|cff908060</t>
    <phoneticPr fontId="1" type="noConversion"/>
  </si>
  <si>
    <t>攻击+120</t>
    <phoneticPr fontId="1" type="noConversion"/>
  </si>
  <si>
    <t>攻击+140</t>
    <phoneticPr fontId="1" type="noConversion"/>
  </si>
  <si>
    <t>魔法+150</t>
    <phoneticPr fontId="1" type="noConversion"/>
  </si>
  <si>
    <t>智力+10</t>
    <phoneticPr fontId="1" type="noConversion"/>
  </si>
  <si>
    <t>补魔+30</t>
    <phoneticPr fontId="1" type="noConversion"/>
  </si>
  <si>
    <t>补血+20</t>
    <phoneticPr fontId="1" type="noConversion"/>
  </si>
  <si>
    <t>补魔+20</t>
    <phoneticPr fontId="1" type="noConversion"/>
  </si>
  <si>
    <t>补血+30</t>
    <phoneticPr fontId="1" type="noConversion"/>
  </si>
  <si>
    <t>回魔+8</t>
    <phoneticPr fontId="1" type="noConversion"/>
  </si>
  <si>
    <t>护甲+8</t>
    <phoneticPr fontId="1" type="noConversion"/>
  </si>
  <si>
    <t>护甲+18</t>
    <phoneticPr fontId="1" type="noConversion"/>
  </si>
  <si>
    <t>抗性+1</t>
    <phoneticPr fontId="1" type="noConversion"/>
  </si>
  <si>
    <t>护甲+7</t>
    <phoneticPr fontId="1" type="noConversion"/>
  </si>
  <si>
    <t>护甲+9</t>
    <phoneticPr fontId="1" type="noConversion"/>
  </si>
  <si>
    <t>护甲+12</t>
    <phoneticPr fontId="1" type="noConversion"/>
  </si>
  <si>
    <t>护甲+11</t>
    <phoneticPr fontId="1" type="noConversion"/>
  </si>
  <si>
    <t>抗性+4</t>
    <phoneticPr fontId="1" type="noConversion"/>
  </si>
  <si>
    <t>抗性+2</t>
    <phoneticPr fontId="1" type="noConversion"/>
  </si>
  <si>
    <t>闪避+2</t>
    <phoneticPr fontId="1" type="noConversion"/>
  </si>
  <si>
    <t>闪避+3</t>
    <phoneticPr fontId="1" type="noConversion"/>
  </si>
  <si>
    <t>偏斜+4</t>
    <phoneticPr fontId="1" type="noConversion"/>
  </si>
  <si>
    <t>反伤+4</t>
    <phoneticPr fontId="1" type="noConversion"/>
  </si>
  <si>
    <t>格挡+2</t>
    <phoneticPr fontId="1" type="noConversion"/>
  </si>
  <si>
    <t>魔法+300</t>
    <phoneticPr fontId="1" type="noConversion"/>
  </si>
  <si>
    <t>生命+600</t>
    <phoneticPr fontId="1" type="noConversion"/>
  </si>
  <si>
    <t>护甲+20</t>
    <phoneticPr fontId="1" type="noConversion"/>
  </si>
  <si>
    <t>护甲+6</t>
    <phoneticPr fontId="1" type="noConversion"/>
  </si>
  <si>
    <t>魔法+500</t>
    <phoneticPr fontId="1" type="noConversion"/>
  </si>
  <si>
    <t>魔法+400</t>
    <phoneticPr fontId="1" type="noConversion"/>
  </si>
  <si>
    <t>抗性+5</t>
    <phoneticPr fontId="1" type="noConversion"/>
  </si>
  <si>
    <t>抗性+6</t>
    <phoneticPr fontId="1" type="noConversion"/>
  </si>
  <si>
    <t>抗性+3</t>
    <phoneticPr fontId="1" type="noConversion"/>
  </si>
  <si>
    <t>护甲+10</t>
    <phoneticPr fontId="1" type="noConversion"/>
  </si>
  <si>
    <t>生命+900</t>
    <phoneticPr fontId="1" type="noConversion"/>
  </si>
  <si>
    <t>护甲+5</t>
    <phoneticPr fontId="1" type="noConversion"/>
  </si>
  <si>
    <t>反伤+3</t>
    <phoneticPr fontId="1" type="noConversion"/>
  </si>
  <si>
    <t>护甲+16</t>
    <phoneticPr fontId="1" type="noConversion"/>
  </si>
  <si>
    <t>魔法+600</t>
    <phoneticPr fontId="1" type="noConversion"/>
  </si>
  <si>
    <t>魔法+800</t>
    <phoneticPr fontId="1" type="noConversion"/>
  </si>
  <si>
    <t>魔法+1000</t>
    <phoneticPr fontId="1" type="noConversion"/>
  </si>
  <si>
    <t>护甲+14</t>
    <phoneticPr fontId="1" type="noConversion"/>
  </si>
  <si>
    <t>生命+800</t>
    <phoneticPr fontId="1" type="noConversion"/>
  </si>
  <si>
    <t>补血+10</t>
    <phoneticPr fontId="1" type="noConversion"/>
  </si>
  <si>
    <t>补魔+10</t>
    <phoneticPr fontId="1" type="noConversion"/>
  </si>
  <si>
    <t>补血+15</t>
    <phoneticPr fontId="1" type="noConversion"/>
  </si>
  <si>
    <t>补血+40</t>
    <phoneticPr fontId="1" type="noConversion"/>
  </si>
  <si>
    <t>补血+25</t>
    <phoneticPr fontId="1" type="noConversion"/>
  </si>
  <si>
    <t>补魔+25</t>
    <phoneticPr fontId="1" type="noConversion"/>
  </si>
  <si>
    <t>补魔+40</t>
    <phoneticPr fontId="1" type="noConversion"/>
  </si>
  <si>
    <t>偏斜+4</t>
    <phoneticPr fontId="1" type="noConversion"/>
  </si>
  <si>
    <t>攻速+15</t>
    <phoneticPr fontId="1" type="noConversion"/>
  </si>
  <si>
    <t>攻速+20</t>
    <phoneticPr fontId="1" type="noConversion"/>
  </si>
  <si>
    <t>攻速+30</t>
    <phoneticPr fontId="1" type="noConversion"/>
  </si>
  <si>
    <t>攻速+40</t>
    <phoneticPr fontId="1" type="noConversion"/>
  </si>
  <si>
    <t>回血+8</t>
    <phoneticPr fontId="1" type="noConversion"/>
  </si>
  <si>
    <t>全能+10</t>
    <phoneticPr fontId="1" type="noConversion"/>
  </si>
  <si>
    <t>力量+10</t>
    <phoneticPr fontId="1" type="noConversion"/>
  </si>
  <si>
    <t>全能+20</t>
    <phoneticPr fontId="1" type="noConversion"/>
  </si>
  <si>
    <t>力量+15</t>
    <phoneticPr fontId="1" type="noConversion"/>
  </si>
  <si>
    <t>回血+4</t>
    <phoneticPr fontId="1" type="noConversion"/>
  </si>
  <si>
    <t>回血+6</t>
    <phoneticPr fontId="1" type="noConversion"/>
  </si>
  <si>
    <t>移速+80</t>
    <phoneticPr fontId="1" type="noConversion"/>
  </si>
  <si>
    <t>回魔+2</t>
    <phoneticPr fontId="1" type="noConversion"/>
  </si>
  <si>
    <t>回血+2</t>
    <phoneticPr fontId="1" type="noConversion"/>
  </si>
  <si>
    <t>高阶死亡骑士的符文剑，充满了黑暗之力。</t>
    <phoneticPr fontId="1" type="noConversion"/>
  </si>
  <si>
    <t>受到了王者祝福的权杖，是高阶牧师的制式装备。</t>
    <phoneticPr fontId="1" type="noConversion"/>
  </si>
  <si>
    <t>艾泽拉斯著名刺客“电池头”曾经使用过的匕首。</t>
    <phoneticPr fontId="1" type="noConversion"/>
  </si>
  <si>
    <t>这本记录了圣光奥义的法典属于圣骑士图拉扬。</t>
    <phoneticPr fontId="1" type="noConversion"/>
  </si>
  <si>
    <t>当伊利丹在黑暗神殿战败后，这颗神秘颅骨的下落完全成为了一个谜。</t>
    <phoneticPr fontId="1" type="noConversion"/>
  </si>
  <si>
    <t>这颗完全由冰霜能量凝结而成的珠子，被发现于皇冠冰川的深处。</t>
    <phoneticPr fontId="1" type="noConversion"/>
  </si>
  <si>
    <t>这颗蕴含了无尽闪电能量的宝珠的来历完全是个谜。</t>
    <phoneticPr fontId="1" type="noConversion"/>
  </si>
  <si>
    <t>这件代表了铜须家族荣誉的强大头盔铸造于铁炉堡。</t>
    <phoneticPr fontId="1" type="noConversion"/>
  </si>
  <si>
    <t>地狱咆哮的头盔，融合了他那坚强的意志。</t>
    <phoneticPr fontId="1" type="noConversion"/>
  </si>
  <si>
    <t>安杜因洛萨爵士曾经佩戴过的头盔，坚韧无比。</t>
    <phoneticPr fontId="1" type="noConversion"/>
  </si>
  <si>
    <t>德拉克苏尔的兜帽，由最精美的恶魔布制成。</t>
    <phoneticPr fontId="1" type="noConversion"/>
  </si>
  <si>
    <t>克尔苏加德撰写的记录了天灾法术的禁书。</t>
    <phoneticPr fontId="1" type="noConversion"/>
  </si>
  <si>
    <t>这件怪异的面具属于阿曼达巨魔首领祖尔金。</t>
    <phoneticPr fontId="1" type="noConversion"/>
  </si>
  <si>
    <t>血色十字军高阶主教的头冠。</t>
    <phoneticPr fontId="1" type="noConversion"/>
  </si>
  <si>
    <t>古代角斗士们佩戴的面具，历经百战而被传承了下来。</t>
    <phoneticPr fontId="1" type="noConversion"/>
  </si>
  <si>
    <t>这件来自深海的头冠上面寄宿了深渊幽魂的力量。</t>
    <phoneticPr fontId="1" type="noConversion"/>
  </si>
  <si>
    <t>风靡于暴风城贵族的一种头戴饰物。</t>
    <phoneticPr fontId="1" type="noConversion"/>
  </si>
  <si>
    <t>法师和术士们用来举办各种仪式的常用面罩。</t>
    <phoneticPr fontId="1" type="noConversion"/>
  </si>
  <si>
    <t>在安其拉神殿中经历了万年的淬炼，这件铠甲坚不可摧。</t>
    <phoneticPr fontId="1" type="noConversion"/>
  </si>
  <si>
    <t>由地穴领主——阿努布雷坎的甲壳打造而成，其硬度天下无双。</t>
    <phoneticPr fontId="1" type="noConversion"/>
  </si>
  <si>
    <t>萨满大祭司曾经穿过的法袍，其中蕴含了无限的生命力。</t>
    <phoneticPr fontId="1" type="noConversion"/>
  </si>
  <si>
    <t>肯瑞托议会高阶法师们所佩戴的长袍，被赋予了强大的奥术能量。</t>
    <phoneticPr fontId="1" type="noConversion"/>
  </si>
  <si>
    <t>这件收到月神祝福的法袍曾经属于范达尔鹿盔。</t>
    <phoneticPr fontId="1" type="noConversion"/>
  </si>
  <si>
    <t>这件传奇铠甲由龙鳞和秘银铸造而成，坚韧无比。</t>
    <phoneticPr fontId="1" type="noConversion"/>
  </si>
  <si>
    <t>死亡骑士瑞文戴尔男爵所佩戴的黑暗胸甲。</t>
    <phoneticPr fontId="1" type="noConversion"/>
  </si>
  <si>
    <t>阿尔萨斯王子在血洗斯坦索姆城时遗落的手套。</t>
    <phoneticPr fontId="1" type="noConversion"/>
  </si>
  <si>
    <t>预言手套</t>
    <phoneticPr fontId="1" type="noConversion"/>
  </si>
  <si>
    <t>光明使者乌瑟尔的手套，充满了魔法能量。</t>
    <phoneticPr fontId="1" type="noConversion"/>
  </si>
  <si>
    <t>萨穆罗年轻时佩戴的手套，据说能使武器变轻。</t>
    <phoneticPr fontId="1" type="noConversion"/>
  </si>
  <si>
    <t>这件覆盖了奥术符文的护腕由银月城的能工巧匠制造。</t>
    <phoneticPr fontId="1" type="noConversion"/>
  </si>
  <si>
    <t>这件手套是如此的轻，以至于戴上它后双手都会飘起来。</t>
    <phoneticPr fontId="1" type="noConversion"/>
  </si>
  <si>
    <t>在食人鬼皇帝在某次和地精大财主的赌博中输掉了这件珍贵的手套。</t>
    <phoneticPr fontId="1" type="noConversion"/>
  </si>
  <si>
    <t>在崔斯特瑞姆毁灭前，怀特的鞋店生意非常好。</t>
    <phoneticPr fontId="1" type="noConversion"/>
  </si>
  <si>
    <t>血精灵工匠精心制造的皮靴，非常的舒适。</t>
    <phoneticPr fontId="1" type="noConversion"/>
  </si>
  <si>
    <t>这件由铁网蛛丝制造的鞋子有些小，但异常的轻便。</t>
    <phoneticPr fontId="1" type="noConversion"/>
  </si>
  <si>
    <t>艾泽拉斯短跑名将“电池头”的跑鞋，你问我为啥他能跑这么快？</t>
    <phoneticPr fontId="1" type="noConversion"/>
  </si>
  <si>
    <t>取自黑翼之巢中某个魔龙领主的心脏，可以恢复使用者大量生命值。</t>
  </si>
  <si>
    <t>提炼于刀锋山竞技场中的灵气，能快速恢复健康。</t>
  </si>
  <si>
    <t>孤独探险者们的最爱，能缓慢治愈一切创伤。</t>
  </si>
  <si>
    <t>暴风城中英雄们使用的号角，能有效的强化友军防御力。</t>
  </si>
  <si>
    <t>部落英雄们使用的战鼓，能短时间内加快友军行进速度。</t>
  </si>
  <si>
    <t>由达拉然的高阶魔导师安东尼达斯亲自监制。</t>
  </si>
  <si>
    <t>一枚由暮光之锤古加尔制造的疯狂的戒指。</t>
  </si>
  <si>
    <t>食人鬼拳套</t>
    <phoneticPr fontId="1" type="noConversion"/>
  </si>
  <si>
    <t>熊皮靴</t>
    <phoneticPr fontId="1" type="noConversion"/>
  </si>
  <si>
    <t>使用</t>
    <phoneticPr fontId="1" type="noConversion"/>
  </si>
  <si>
    <t>|cff00ff00使用：|r</t>
    <phoneticPr fontId="1" type="noConversion"/>
  </si>
  <si>
    <t>为目标提供一个能吸收1600点魔法伤害的护盾，持续15秒。</t>
  </si>
  <si>
    <t>恢复周围友军500点生命值并在15秒内提高8点护甲。</t>
  </si>
  <si>
    <t>在8秒内提高周围友军200%的移动速度。</t>
  </si>
  <si>
    <t>沉默目标区域内的敌人，持续2秒。</t>
  </si>
  <si>
    <t>ITG8</t>
  </si>
  <si>
    <t>ITG9</t>
  </si>
  <si>
    <t>卡德加的烟斗</t>
    <phoneticPr fontId="1" type="noConversion"/>
  </si>
  <si>
    <t>神奇法师卡德加用过的烟斗，拥有强大的魔法抗性。</t>
    <phoneticPr fontId="1" type="noConversion"/>
  </si>
  <si>
    <t>暂时获得25%的吸血能力并增加50点的攻击力，持续12秒。</t>
  </si>
  <si>
    <t>使目标攻击速度提高75%，但会每秒受到20点伤害，持续15秒。</t>
    <phoneticPr fontId="1" type="noConversion"/>
  </si>
  <si>
    <t>吸血鬼的骨灰盒</t>
    <phoneticPr fontId="1" type="noConversion"/>
  </si>
  <si>
    <t>里面装着某位吸血鬼伯爵的骨灰，只是看着盒子就能感受到他的可怕。</t>
    <phoneticPr fontId="1" type="noConversion"/>
  </si>
  <si>
    <t>精灵王戒指</t>
    <phoneticPr fontId="1" type="noConversion"/>
  </si>
  <si>
    <t>精灵王子凯尔萨斯的徽记之戒，可以轻易的汲取敌人的能量。</t>
    <phoneticPr fontId="1" type="noConversion"/>
  </si>
  <si>
    <t>食人鬼皇帝的头冠，虽然外形简陋了点，但是确实是个宝贝。</t>
    <phoneticPr fontId="1" type="noConversion"/>
  </si>
  <si>
    <t>这件完美的护甲来自古代的阿拉索帝国。</t>
    <phoneticPr fontId="1" type="noConversion"/>
  </si>
  <si>
    <t>幽暗城神秘的刺客组织所提供的制式装备。</t>
    <phoneticPr fontId="1" type="noConversion"/>
  </si>
  <si>
    <t>格挡+3</t>
    <phoneticPr fontId="1" type="noConversion"/>
  </si>
  <si>
    <t>为了在战斗中获得优势，刺客宗师们给这件斗篷赋予了强大的魔力。</t>
    <phoneticPr fontId="1" type="noConversion"/>
  </si>
  <si>
    <t>生命+700</t>
    <phoneticPr fontId="1" type="noConversion"/>
  </si>
  <si>
    <t>魔法+300</t>
    <phoneticPr fontId="1" type="noConversion"/>
  </si>
  <si>
    <t>力量+30</t>
    <phoneticPr fontId="1" type="noConversion"/>
  </si>
  <si>
    <t>力量+50</t>
    <phoneticPr fontId="1" type="noConversion"/>
  </si>
  <si>
    <t>智力+30</t>
    <phoneticPr fontId="1" type="noConversion"/>
  </si>
  <si>
    <t>智力+50</t>
    <phoneticPr fontId="1" type="noConversion"/>
  </si>
  <si>
    <t>敏捷+30</t>
    <phoneticPr fontId="1" type="noConversion"/>
  </si>
  <si>
    <t>敏捷+50</t>
    <phoneticPr fontId="1" type="noConversion"/>
  </si>
  <si>
    <t>盗取目标单位400点魔法值。</t>
    <phoneticPr fontId="1" type="noConversion"/>
  </si>
  <si>
    <t>腐蚀+4</t>
    <phoneticPr fontId="1" type="noConversion"/>
  </si>
  <si>
    <t>腐蚀宝珠</t>
    <phoneticPr fontId="1" type="noConversion"/>
  </si>
  <si>
    <t>由远古的暗夜精灵们利用奇美拉的毒液炼制而成的神奇珠宝。</t>
    <phoneticPr fontId="1" type="noConversion"/>
  </si>
  <si>
    <t>攻击+110</t>
    <phoneticPr fontId="1" type="noConversion"/>
  </si>
  <si>
    <t>力量+20</t>
    <phoneticPr fontId="1" type="noConversion"/>
  </si>
  <si>
    <t>溅射</t>
    <phoneticPr fontId="1" type="noConversion"/>
  </si>
  <si>
    <t>暴击+2</t>
    <phoneticPr fontId="1" type="noConversion"/>
  </si>
  <si>
    <t>重击+3</t>
    <phoneticPr fontId="1" type="noConversion"/>
  </si>
  <si>
    <t>暴击+3</t>
    <phoneticPr fontId="1" type="noConversion"/>
  </si>
  <si>
    <t>20-120</t>
    <phoneticPr fontId="1" type="noConversion"/>
  </si>
  <si>
    <t>攻速+10</t>
    <phoneticPr fontId="1" type="noConversion"/>
  </si>
  <si>
    <t>敏捷+35</t>
    <phoneticPr fontId="1" type="noConversion"/>
  </si>
  <si>
    <t>回魔+4</t>
    <phoneticPr fontId="1" type="noConversion"/>
  </si>
  <si>
    <t>攻速+25</t>
    <phoneticPr fontId="1" type="noConversion"/>
  </si>
  <si>
    <t>智力+30</t>
    <phoneticPr fontId="1" type="noConversion"/>
  </si>
  <si>
    <t>品质等级</t>
    <phoneticPr fontId="1" type="noConversion"/>
  </si>
  <si>
    <t>价格</t>
    <phoneticPr fontId="1" type="noConversion"/>
  </si>
  <si>
    <t>草药</t>
    <phoneticPr fontId="1" type="noConversion"/>
  </si>
  <si>
    <t>甘草</t>
    <phoneticPr fontId="1" type="noConversion"/>
  </si>
  <si>
    <t>地黄</t>
    <phoneticPr fontId="1" type="noConversion"/>
  </si>
  <si>
    <t>荨麻草</t>
    <phoneticPr fontId="1" type="noConversion"/>
  </si>
  <si>
    <t>荆棘草</t>
    <phoneticPr fontId="1" type="noConversion"/>
  </si>
  <si>
    <t>血色玫瑰</t>
    <phoneticPr fontId="1" type="noConversion"/>
  </si>
  <si>
    <t>芦荟</t>
    <phoneticPr fontId="1" type="noConversion"/>
  </si>
  <si>
    <t>铁藤花</t>
    <phoneticPr fontId="1" type="noConversion"/>
  </si>
  <si>
    <t>乌头根</t>
    <phoneticPr fontId="1" type="noConversion"/>
  </si>
  <si>
    <t>魔血草</t>
    <phoneticPr fontId="1" type="noConversion"/>
  </si>
  <si>
    <t>噩梦菇</t>
    <phoneticPr fontId="1" type="noConversion"/>
  </si>
  <si>
    <t>彼岸花</t>
    <phoneticPr fontId="1" type="noConversion"/>
  </si>
  <si>
    <t>世界树的嫩芽</t>
    <phoneticPr fontId="1" type="noConversion"/>
  </si>
  <si>
    <t>黄金菊</t>
    <phoneticPr fontId="1" type="noConversion"/>
  </si>
  <si>
    <t>极地参</t>
    <phoneticPr fontId="1" type="noConversion"/>
  </si>
  <si>
    <t>幽灵孢子</t>
    <phoneticPr fontId="1" type="noConversion"/>
  </si>
  <si>
    <t>凤凰之花</t>
    <phoneticPr fontId="1" type="noConversion"/>
  </si>
  <si>
    <t>布料</t>
    <phoneticPr fontId="1" type="noConversion"/>
  </si>
  <si>
    <t>麻布</t>
    <phoneticPr fontId="1" type="noConversion"/>
  </si>
  <si>
    <t>毛料</t>
    <phoneticPr fontId="1" type="noConversion"/>
  </si>
  <si>
    <t>蜘蛛丝</t>
    <phoneticPr fontId="1" type="noConversion"/>
  </si>
  <si>
    <t>丝绸</t>
    <phoneticPr fontId="1" type="noConversion"/>
  </si>
  <si>
    <t>魔化丝绸</t>
    <phoneticPr fontId="1" type="noConversion"/>
  </si>
  <si>
    <t>铁网蛛丝</t>
    <phoneticPr fontId="1" type="noConversion"/>
  </si>
  <si>
    <t>恶魔布</t>
    <phoneticPr fontId="1" type="noConversion"/>
  </si>
  <si>
    <t>恶魔丝线</t>
    <phoneticPr fontId="1" type="noConversion"/>
  </si>
  <si>
    <t>纹章布</t>
    <phoneticPr fontId="1" type="noConversion"/>
  </si>
  <si>
    <t>堆叠上限</t>
    <phoneticPr fontId="1" type="noConversion"/>
  </si>
  <si>
    <t>光之绸缎</t>
    <phoneticPr fontId="1" type="noConversion"/>
  </si>
  <si>
    <t>恢复1200点生命值。</t>
    <phoneticPr fontId="1" type="noConversion"/>
  </si>
  <si>
    <t>智力+10</t>
    <phoneticPr fontId="1" type="noConversion"/>
  </si>
  <si>
    <t>攻击+140</t>
    <phoneticPr fontId="1" type="noConversion"/>
  </si>
  <si>
    <t>护甲+12</t>
    <phoneticPr fontId="1" type="noConversion"/>
  </si>
  <si>
    <t>护甲+13</t>
    <phoneticPr fontId="1" type="noConversion"/>
  </si>
  <si>
    <t>冷却</t>
    <phoneticPr fontId="1" type="noConversion"/>
  </si>
  <si>
    <t>|cff0088ff冷却时间：|r</t>
    <phoneticPr fontId="1" type="noConversion"/>
  </si>
  <si>
    <t>秒。</t>
    <phoneticPr fontId="1" type="noConversion"/>
  </si>
  <si>
    <t>|cff888888</t>
    <phoneticPr fontId="1" type="noConversion"/>
  </si>
  <si>
    <t>魔法+450</t>
    <phoneticPr fontId="1" type="noConversion"/>
  </si>
  <si>
    <t>格挡+5</t>
    <phoneticPr fontId="1" type="noConversion"/>
  </si>
  <si>
    <t>攻击+190</t>
    <phoneticPr fontId="1" type="noConversion"/>
  </si>
  <si>
    <t>攻击+160</t>
    <phoneticPr fontId="1" type="noConversion"/>
  </si>
  <si>
    <t>移速+60</t>
    <phoneticPr fontId="1" type="noConversion"/>
  </si>
  <si>
    <t>恢复800点生命值和600点法力值。</t>
    <phoneticPr fontId="1" type="noConversion"/>
  </si>
  <si>
    <t>在16秒内恢复2400点生命值和1200点法力值，受到伤害打断效果。</t>
    <phoneticPr fontId="1" type="noConversion"/>
  </si>
  <si>
    <t>暴击+4</t>
    <phoneticPr fontId="1" type="noConversion"/>
  </si>
  <si>
    <t>ID</t>
    <phoneticPr fontId="1" type="noConversion"/>
  </si>
  <si>
    <t>名称</t>
    <phoneticPr fontId="1" type="noConversion"/>
  </si>
  <si>
    <t>描述</t>
    <phoneticPr fontId="1" type="noConversion"/>
  </si>
  <si>
    <t>ITI0</t>
    <phoneticPr fontId="1" type="noConversion"/>
  </si>
  <si>
    <t>ITI1</t>
  </si>
  <si>
    <t>ITI2</t>
  </si>
  <si>
    <t>ITI3</t>
  </si>
  <si>
    <t>ITJ0</t>
    <phoneticPr fontId="1" type="noConversion"/>
  </si>
  <si>
    <t>ITJ1</t>
  </si>
  <si>
    <t>ITJ2</t>
  </si>
  <si>
    <t>ITJ3</t>
  </si>
  <si>
    <t>ITJ4</t>
  </si>
  <si>
    <t>ITJ5</t>
  </si>
  <si>
    <t>ITK0</t>
    <phoneticPr fontId="1" type="noConversion"/>
  </si>
  <si>
    <t>ITK1</t>
  </si>
  <si>
    <t>ITK2</t>
  </si>
  <si>
    <t>ITK3</t>
  </si>
  <si>
    <t>团队治疗神符</t>
    <phoneticPr fontId="1" type="noConversion"/>
  </si>
  <si>
    <t>团队恢复神符</t>
    <phoneticPr fontId="1" type="noConversion"/>
  </si>
  <si>
    <t>团队加速神符</t>
    <phoneticPr fontId="1" type="noConversion"/>
  </si>
  <si>
    <t>团队硬化神符</t>
    <phoneticPr fontId="1" type="noConversion"/>
  </si>
  <si>
    <t>竞技者的生命药水</t>
    <phoneticPr fontId="1" type="noConversion"/>
  </si>
  <si>
    <t>竞技者的魔法药水</t>
    <phoneticPr fontId="1" type="noConversion"/>
  </si>
  <si>
    <t>竞技者的活力药水</t>
    <phoneticPr fontId="1" type="noConversion"/>
  </si>
  <si>
    <t>竞技者的速度药水</t>
    <phoneticPr fontId="1" type="noConversion"/>
  </si>
  <si>
    <t>竞技者的隐形药水</t>
    <phoneticPr fontId="1" type="noConversion"/>
  </si>
  <si>
    <t>竞技者的抗性药水</t>
    <phoneticPr fontId="1" type="noConversion"/>
  </si>
  <si>
    <t>瓶中圣光</t>
    <phoneticPr fontId="1" type="noConversion"/>
  </si>
  <si>
    <t>闪耀之心</t>
    <phoneticPr fontId="1" type="noConversion"/>
  </si>
  <si>
    <t>猪人打傻陷阱</t>
    <phoneticPr fontId="1" type="noConversion"/>
  </si>
  <si>
    <t>猪人诱捕之网</t>
    <phoneticPr fontId="1" type="noConversion"/>
  </si>
  <si>
    <t>ITK0</t>
    <phoneticPr fontId="1" type="noConversion"/>
  </si>
  <si>
    <t>闪耀之心</t>
    <phoneticPr fontId="1" type="noConversion"/>
  </si>
  <si>
    <t>工具</t>
    <phoneticPr fontId="1" type="noConversion"/>
  </si>
  <si>
    <t>通用</t>
    <phoneticPr fontId="1" type="noConversion"/>
  </si>
  <si>
    <t>精良</t>
    <phoneticPr fontId="1" type="noConversion"/>
  </si>
  <si>
    <t>瓶中圣光</t>
    <phoneticPr fontId="1" type="noConversion"/>
  </si>
  <si>
    <t>猪人诱捕之网</t>
    <phoneticPr fontId="1" type="noConversion"/>
  </si>
  <si>
    <t>猪人打傻陷阱</t>
    <phoneticPr fontId="1" type="noConversion"/>
  </si>
  <si>
    <t>使英雄短距离瞬间移动到指定地点。|n|n|cff00ff00击杀敌方英雄时充能。|r|n|n|cffff8800闪现后旗帜将掉落。|r|n|n|cff0088ff施法距离|r：200-800码。</t>
    <phoneticPr fontId="1" type="noConversion"/>
  </si>
  <si>
    <t>这件物品是如此的虚无，以至于给人一种触碰到就会立马消散的错觉。</t>
    <phoneticPr fontId="1" type="noConversion"/>
  </si>
  <si>
    <t>为目标单位恢复600点生命值。如果目标是战场旗帜的持有者，则额外恢复600点生命值。|n|n|cff00ff00击杀敌方英雄时充能。|r|n</t>
    <phoneticPr fontId="1" type="noConversion"/>
  </si>
  <si>
    <t>DESIGNED BY 猪肉爱好者@2020</t>
  </si>
  <si>
    <t>向目标投掷一张大网，使其无法移动。持续15秒。|n|n|cff00ff00击杀敌方英雄时充能。|r|n|n|cffff8800英雄持续时间减半。|r|n|n|cff0088ff施法距离|r：600码。</t>
    <phoneticPr fontId="1" type="noConversion"/>
  </si>
  <si>
    <t>放置一个隐形的陷阱来击晕靠近的敌方地面单位，当有敌方的地点单位靠近陷阱的时候会自动激活。陷阱持续150秒。眩晕效果持续8秒。|n|n|cff00ff00击杀敌方英雄时充能。|r|n</t>
    <phoneticPr fontId="1" type="noConversion"/>
  </si>
  <si>
    <t>|cff00ff88闪耀之心|r</t>
  </si>
  <si>
    <t>|cff00ff88瓶中圣光|r</t>
  </si>
  <si>
    <t>|cff00ff88猪人诱捕之网|r</t>
  </si>
  <si>
    <t>|cff00ff88猪人打傻陷阱|r</t>
  </si>
  <si>
    <t>瓶底刻着一行小字：One man's feeding-bottle is another man's life-potion.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</si>
</sst>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" fillId="5" borderId="1" applyNumberFormat="0" applyAlignment="0" applyProtection="0">
      <alignment vertical="center"/>
    </xf>
  </cellStyleXfs>
  <cellXfs count="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4" fillId="4" borderId="0" xfId="3">
      <alignment vertical="center"/>
    </xf>
    <xf numFmtId="0" fontId="3" fillId="3" borderId="0" xfId="2">
      <alignment vertical="center"/>
    </xf>
    <xf numFmtId="0" fontId="5" fillId="5" borderId="1" xfId="4">
      <alignment vertical="center"/>
    </xf>
    <xf numFmtId="0" fontId="2" fillId="2" borderId="0" xfId="1">
      <alignment vertical="center"/>
    </xf>
  </cellXfs>
  <cellStyles count="5">
    <cellStyle name="差" xfId="2" builtinId="27"/>
    <cellStyle name="常规" xfId="0" builtinId="0"/>
    <cellStyle name="好" xfId="1" builtinId="26"/>
    <cellStyle name="计算" xfId="4" builtinId="22"/>
    <cellStyle name="适中" xfId="3" builtinId="2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9"/>
  <sheetViews>
    <sheetView workbookViewId="0">
      <selection activeCell="A12" sqref="A12"/>
    </sheetView>
  </sheetViews>
  <sheetFormatPr defaultRowHeight="13.5"/>
  <cols>
    <col min="1" max="1" width="22.5" style="1" customWidth="1"/>
    <col min="2" max="2" width="11.625" style="1" bestFit="1" customWidth="1"/>
    <col min="3" max="16384" width="9" style="1"/>
  </cols>
  <sheetData>
    <row r="1" spans="1:4">
      <c r="A1" s="1" t="s">
        <v>65</v>
      </c>
      <c r="B1" s="1" t="s">
        <v>454</v>
      </c>
      <c r="C1" s="1" t="s">
        <v>178</v>
      </c>
      <c r="D1" s="1" t="s">
        <v>206</v>
      </c>
    </row>
    <row r="2" spans="1:4">
      <c r="A2" s="1" t="s">
        <v>66</v>
      </c>
      <c r="B2" s="1" t="s">
        <v>253</v>
      </c>
      <c r="C2" s="1" t="s">
        <v>179</v>
      </c>
      <c r="D2" s="1" t="s">
        <v>206</v>
      </c>
    </row>
    <row r="3" spans="1:4">
      <c r="A3" s="1" t="s">
        <v>151</v>
      </c>
      <c r="B3" s="1" t="s">
        <v>254</v>
      </c>
      <c r="C3" s="1" t="s">
        <v>180</v>
      </c>
      <c r="D3" s="1" t="s">
        <v>207</v>
      </c>
    </row>
    <row r="4" spans="1:4">
      <c r="A4" s="1" t="s">
        <v>150</v>
      </c>
      <c r="B4" s="1" t="s">
        <v>255</v>
      </c>
      <c r="C4" s="1" t="s">
        <v>181</v>
      </c>
      <c r="D4" s="1" t="s">
        <v>208</v>
      </c>
    </row>
    <row r="5" spans="1:4">
      <c r="A5" s="1" t="s">
        <v>251</v>
      </c>
      <c r="B5" s="1" t="s">
        <v>256</v>
      </c>
      <c r="C5" s="1" t="s">
        <v>182</v>
      </c>
      <c r="D5" s="1" t="s">
        <v>208</v>
      </c>
    </row>
    <row r="6" spans="1:4">
      <c r="A6" s="1" t="s">
        <v>252</v>
      </c>
      <c r="B6" s="1" t="s">
        <v>257</v>
      </c>
      <c r="C6" s="1" t="s">
        <v>184</v>
      </c>
      <c r="D6" s="1" t="s">
        <v>209</v>
      </c>
    </row>
    <row r="7" spans="1:4">
      <c r="A7" s="1" t="s">
        <v>157</v>
      </c>
      <c r="B7" s="1" t="s">
        <v>258</v>
      </c>
      <c r="C7" s="1" t="s">
        <v>185</v>
      </c>
      <c r="D7" s="1" t="s">
        <v>209</v>
      </c>
    </row>
    <row r="8" spans="1:4">
      <c r="A8" s="1" t="s">
        <v>158</v>
      </c>
      <c r="B8" s="1" t="s">
        <v>259</v>
      </c>
      <c r="C8" s="1" t="s">
        <v>186</v>
      </c>
      <c r="D8" s="1" t="s">
        <v>209</v>
      </c>
    </row>
    <row r="9" spans="1:4">
      <c r="A9" s="1" t="s">
        <v>371</v>
      </c>
      <c r="B9" s="1" t="s">
        <v>260</v>
      </c>
      <c r="C9" s="1" t="s">
        <v>187</v>
      </c>
      <c r="D9" s="1" t="s">
        <v>209</v>
      </c>
    </row>
    <row r="10" spans="1:4">
      <c r="A10" s="1" t="s">
        <v>452</v>
      </c>
      <c r="C10" s="1" t="s">
        <v>183</v>
      </c>
      <c r="D10" s="1" t="s">
        <v>409</v>
      </c>
    </row>
    <row r="11" spans="1:4">
      <c r="A11" s="1" t="s">
        <v>453</v>
      </c>
      <c r="C11" s="1" t="s">
        <v>188</v>
      </c>
      <c r="D11" s="1" t="s">
        <v>210</v>
      </c>
    </row>
    <row r="12" spans="1:4">
      <c r="C12" s="1" t="s">
        <v>189</v>
      </c>
      <c r="D12" s="1" t="s">
        <v>210</v>
      </c>
    </row>
    <row r="13" spans="1:4">
      <c r="C13" s="1" t="s">
        <v>190</v>
      </c>
      <c r="D13" s="1" t="s">
        <v>210</v>
      </c>
    </row>
    <row r="14" spans="1:4">
      <c r="C14" s="1" t="s">
        <v>191</v>
      </c>
      <c r="D14" s="1" t="s">
        <v>210</v>
      </c>
    </row>
    <row r="15" spans="1:4">
      <c r="C15" s="1" t="s">
        <v>192</v>
      </c>
      <c r="D15" s="1" t="s">
        <v>210</v>
      </c>
    </row>
    <row r="16" spans="1:4">
      <c r="C16" s="1" t="s">
        <v>405</v>
      </c>
      <c r="D16" s="1" t="s">
        <v>211</v>
      </c>
    </row>
    <row r="17" spans="3:4">
      <c r="C17" s="1" t="s">
        <v>193</v>
      </c>
      <c r="D17" s="1" t="s">
        <v>211</v>
      </c>
    </row>
    <row r="18" spans="3:4">
      <c r="C18" s="1" t="s">
        <v>194</v>
      </c>
      <c r="D18" s="1" t="s">
        <v>211</v>
      </c>
    </row>
    <row r="19" spans="3:4">
      <c r="C19" s="1" t="s">
        <v>195</v>
      </c>
      <c r="D19" s="1" t="s">
        <v>211</v>
      </c>
    </row>
    <row r="20" spans="3:4">
      <c r="C20" s="1" t="s">
        <v>196</v>
      </c>
      <c r="D20" s="1" t="s">
        <v>211</v>
      </c>
    </row>
    <row r="21" spans="3:4">
      <c r="C21" s="1" t="s">
        <v>197</v>
      </c>
      <c r="D21" s="1" t="s">
        <v>211</v>
      </c>
    </row>
    <row r="22" spans="3:4">
      <c r="C22" s="1" t="s">
        <v>198</v>
      </c>
      <c r="D22" s="1" t="s">
        <v>211</v>
      </c>
    </row>
    <row r="23" spans="3:4">
      <c r="C23" s="1" t="s">
        <v>199</v>
      </c>
      <c r="D23" s="1" t="s">
        <v>211</v>
      </c>
    </row>
    <row r="24" spans="3:4">
      <c r="C24" s="1" t="s">
        <v>200</v>
      </c>
      <c r="D24" s="1" t="s">
        <v>211</v>
      </c>
    </row>
    <row r="25" spans="3:4">
      <c r="C25" s="1" t="s">
        <v>201</v>
      </c>
      <c r="D25" s="1" t="s">
        <v>211</v>
      </c>
    </row>
    <row r="26" spans="3:4">
      <c r="C26" s="1" t="s">
        <v>202</v>
      </c>
      <c r="D26" s="1" t="s">
        <v>209</v>
      </c>
    </row>
    <row r="27" spans="3:4">
      <c r="C27" s="1" t="s">
        <v>203</v>
      </c>
      <c r="D27" s="1" t="s">
        <v>209</v>
      </c>
    </row>
    <row r="28" spans="3:4">
      <c r="C28" s="1" t="s">
        <v>204</v>
      </c>
      <c r="D28" s="1" t="s">
        <v>209</v>
      </c>
    </row>
    <row r="29" spans="3:4">
      <c r="C29" s="1" t="s">
        <v>205</v>
      </c>
      <c r="D29" s="1" t="s">
        <v>209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W78"/>
  <sheetViews>
    <sheetView tabSelected="1" zoomScale="110" zoomScaleNormal="110" workbookViewId="0">
      <selection activeCell="A2" sqref="A2"/>
    </sheetView>
  </sheetViews>
  <sheetFormatPr defaultRowHeight="13.5"/>
  <cols>
    <col min="2" max="2" width="15.125" bestFit="1" customWidth="1"/>
    <col min="7" max="7" width="9.25" bestFit="1" customWidth="1"/>
    <col min="8" max="8" width="10.25" bestFit="1" customWidth="1"/>
    <col min="9" max="9" width="9.25" bestFit="1" customWidth="1"/>
    <col min="10" max="10" width="8.25" bestFit="1" customWidth="1"/>
    <col min="18" max="18" width="39.875" customWidth="1"/>
    <col min="19" max="19" width="31.25" customWidth="1"/>
    <col min="20" max="20" width="22.25" bestFit="1" customWidth="1"/>
    <col min="21" max="22" width="25" customWidth="1"/>
    <col min="23" max="23" width="30" customWidth="1"/>
  </cols>
  <sheetData>
    <row r="1" spans="1:23">
      <c r="A1" t="s">
        <v>64</v>
      </c>
      <c r="B1" t="s">
        <v>70</v>
      </c>
      <c r="C1" t="s">
        <v>68</v>
      </c>
      <c r="D1" t="s">
        <v>69</v>
      </c>
      <c r="E1" t="s">
        <v>250</v>
      </c>
      <c r="F1" t="s">
        <v>67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73</v>
      </c>
      <c r="N1" t="s">
        <v>74</v>
      </c>
      <c r="O1" t="s">
        <v>75</v>
      </c>
      <c r="P1" t="s">
        <v>135</v>
      </c>
      <c r="Q1" t="s">
        <v>451</v>
      </c>
      <c r="R1" t="s">
        <v>370</v>
      </c>
      <c r="S1" t="s">
        <v>78</v>
      </c>
      <c r="T1" t="s">
        <v>76</v>
      </c>
      <c r="U1" t="s">
        <v>77</v>
      </c>
      <c r="V1" t="s">
        <v>79</v>
      </c>
      <c r="W1" t="s">
        <v>72</v>
      </c>
    </row>
    <row r="2" spans="1:23">
      <c r="T2" t="str">
        <f>GenerateName($B2,$F2)</f>
        <v/>
      </c>
      <c r="U2" t="str">
        <f>GenerateBrief($C2:$F2)</f>
        <v>类型限制：（）|n等级品质：（）</v>
      </c>
      <c r="V2" t="str">
        <f>GenerateDetail($U2,$G2:$L2,$M2:$P2,$Q2,$R2,$S2)</f>
        <v>类型限制：（）|n等级品质：（）</v>
      </c>
      <c r="W2" t="str">
        <f>GenerateCode($A2,$G2:$L2,$M2:$P2)</f>
        <v/>
      </c>
    </row>
    <row r="3" spans="1:23">
      <c r="A3" t="s">
        <v>80</v>
      </c>
      <c r="B3" t="s">
        <v>13</v>
      </c>
      <c r="C3" t="s">
        <v>28</v>
      </c>
      <c r="D3" t="s">
        <v>14</v>
      </c>
      <c r="E3">
        <v>255</v>
      </c>
      <c r="F3" t="s">
        <v>152</v>
      </c>
      <c r="G3" t="s">
        <v>247</v>
      </c>
      <c r="H3" t="s">
        <v>394</v>
      </c>
      <c r="I3" t="s">
        <v>137</v>
      </c>
      <c r="M3" t="s">
        <v>406</v>
      </c>
      <c r="S3" t="s">
        <v>159</v>
      </c>
      <c r="T3" t="str">
        <f t="shared" ref="T3:T66" si="0">GenerateName($B3,$F3)</f>
        <v>|cff908060毁灭巨剑|r</v>
      </c>
      <c r="U3" t="str">
        <f t="shared" ref="U3:U66" si="1">GenerateBrief($C3:$F3)</f>
        <v>类型限制：主手（|cffff0000力量|r）|n等级品质：255（|cff908060无双|r）</v>
      </c>
      <c r="V3" t="str">
        <f t="shared" ref="V3:V66" si="2">GenerateDetail($U3,$G3:$L3,$M3:$P3,$Q3,$R3,$S3)</f>
        <v>类型限制：主手（|cffff0000力量|r）|n等级品质：255（|cff908060无双|r）|n|n|cffffcc00属性：|r|n+130 攻击力|n+50 力量|n+20 敏捷|n|cff00ccff功能：|r|n暴击：普通攻击有15%的几率造成200%伤害的暴击。|n|n|cff888888高阶督军使用的沉重武器，削铁如泥。|r</v>
      </c>
      <c r="W3" t="str">
        <f t="shared" ref="W3:W66" si="3">GenerateCode($A3,$G3:$L3,$M3:$P3)</f>
        <v xml:space="preserve">call SaveInteger(udg_DT,'ITA0',0,$00020082)_x000D_
call SaveInteger(udg_DT,'ITA0',1,$00060032)_x000D_
call SaveInteger(udg_DT,'ITA0',2,$00070014)_x000D_
call SaveInteger(udg_DT,'ITA0',3,$00110002)_x000D_
</v>
      </c>
    </row>
    <row r="4" spans="1:23">
      <c r="A4" t="s">
        <v>81</v>
      </c>
      <c r="B4" t="s">
        <v>12</v>
      </c>
      <c r="C4" t="s">
        <v>28</v>
      </c>
      <c r="D4" t="s">
        <v>14</v>
      </c>
      <c r="E4">
        <v>255</v>
      </c>
      <c r="F4" t="s">
        <v>152</v>
      </c>
      <c r="G4" t="s">
        <v>261</v>
      </c>
      <c r="H4" t="s">
        <v>138</v>
      </c>
      <c r="M4" t="s">
        <v>406</v>
      </c>
      <c r="S4" t="s">
        <v>160</v>
      </c>
      <c r="T4" t="str">
        <f t="shared" si="0"/>
        <v>|cff908060熔岩战斧|r</v>
      </c>
      <c r="U4" t="str">
        <f t="shared" si="1"/>
        <v>类型限制：主手（|cffff0000力量|r）|n等级品质：255（|cff908060无双|r）</v>
      </c>
      <c r="V4" t="str">
        <f t="shared" si="2"/>
        <v>类型限制：主手（|cffff0000力量|r）|n等级品质：255（|cff908060无双|r）|n|n|cffffcc00属性：|r|n+120 攻击力|n+60 力量|n|cff00ccff功能：|r|n暴击：普通攻击有15%的几率造成200%伤害的暴击。|n|n|cff888888这把锋利的战斧铸造于熔火之心深处，融合了烈焰的精华。|r</v>
      </c>
      <c r="W4" t="str">
        <f t="shared" si="3"/>
        <v xml:space="preserve">call SaveInteger(udg_DT,'ITA1',0,$00020078)_x000D_
call SaveInteger(udg_DT,'ITA1',1,$0006003C)_x000D_
call SaveInteger(udg_DT,'ITA1',2,$00110002)_x000D_
</v>
      </c>
    </row>
    <row r="5" spans="1:23">
      <c r="A5" t="s">
        <v>82</v>
      </c>
      <c r="B5" t="s">
        <v>6</v>
      </c>
      <c r="C5" t="s">
        <v>28</v>
      </c>
      <c r="D5" t="s">
        <v>14</v>
      </c>
      <c r="E5">
        <v>255</v>
      </c>
      <c r="F5" t="s">
        <v>152</v>
      </c>
      <c r="G5" t="s">
        <v>246</v>
      </c>
      <c r="H5" t="s">
        <v>139</v>
      </c>
      <c r="I5" t="s">
        <v>395</v>
      </c>
      <c r="M5" t="s">
        <v>407</v>
      </c>
      <c r="S5" t="s">
        <v>161</v>
      </c>
      <c r="T5" t="str">
        <f t="shared" si="0"/>
        <v>|cff908060雷神之锤|r</v>
      </c>
      <c r="U5" t="str">
        <f t="shared" si="1"/>
        <v>类型限制：主手（|cffff0000力量|r）|n等级品质：255（|cff908060无双|r）</v>
      </c>
      <c r="V5" t="str">
        <f t="shared" si="2"/>
        <v>类型限制：主手（|cffff0000力量|r）|n等级品质：255（|cff908060无双|r）|n|n|cffffcc00属性：|r|n+150 攻击力|n+50 力量|n+30 智力|n|cff00ccff功能：|r|n重击：普通攻击有20%的几率造成额外75点伤害和1秒的昏迷。|n|n|cff888888传说中的圣骑士“埃斯迪蒙”使用过的战锤。|r</v>
      </c>
      <c r="W5" t="str">
        <f t="shared" si="3"/>
        <v xml:space="preserve">call SaveInteger(udg_DT,'ITA2',0,$00020096)_x000D_
call SaveInteger(udg_DT,'ITA2',1,$00060032)_x000D_
call SaveInteger(udg_DT,'ITA2',2,$0008001E)_x000D_
call SaveInteger(udg_DT,'ITA2',3,$00100003)_x000D_
</v>
      </c>
    </row>
    <row r="6" spans="1:23">
      <c r="A6" t="s">
        <v>83</v>
      </c>
      <c r="B6" t="s">
        <v>7</v>
      </c>
      <c r="C6" t="s">
        <v>28</v>
      </c>
      <c r="D6" t="s">
        <v>14</v>
      </c>
      <c r="E6">
        <v>255</v>
      </c>
      <c r="F6" t="s">
        <v>152</v>
      </c>
      <c r="G6" t="s">
        <v>262</v>
      </c>
      <c r="H6" t="s">
        <v>136</v>
      </c>
      <c r="I6" t="s">
        <v>397</v>
      </c>
      <c r="J6" t="s">
        <v>140</v>
      </c>
      <c r="M6" t="s">
        <v>407</v>
      </c>
      <c r="S6" t="s">
        <v>325</v>
      </c>
      <c r="T6" t="str">
        <f t="shared" si="0"/>
        <v>|cff908060符文魔剑|r</v>
      </c>
      <c r="U6" t="str">
        <f t="shared" si="1"/>
        <v>类型限制：主手（|cffff0000力量|r）|n等级品质：255（|cff908060无双|r）</v>
      </c>
      <c r="V6" t="str">
        <f t="shared" si="2"/>
        <v>类型限制：主手（|cffff0000力量|r）|n等级品质：255（|cff908060无双|r）|n|n|cffffcc00属性：|r|n+140 攻击力|n+40 力量|n+30 敏捷|n+20 智力|n|cff00ccff功能：|r|n重击：普通攻击有20%的几率造成额外75点伤害和1秒的昏迷。|n|n|cff888888高阶死亡骑士的符文剑，充满了黑暗之力。|r</v>
      </c>
      <c r="W6" t="str">
        <f t="shared" si="3"/>
        <v xml:space="preserve">call SaveInteger(udg_DT,'ITA3',0,$0002008C)_x000D_
call SaveInteger(udg_DT,'ITA3',1,$00060028)_x000D_
call SaveInteger(udg_DT,'ITA3',2,$0007001E)_x000D_
call SaveInteger(udg_DT,'ITA3',3,$00080014)_x000D_
call SaveInteger(udg_DT,'ITA3',4,$00100003)_x000D_
</v>
      </c>
    </row>
    <row r="7" spans="1:23">
      <c r="A7" t="s">
        <v>84</v>
      </c>
      <c r="B7" t="s">
        <v>23</v>
      </c>
      <c r="C7" t="s">
        <v>28</v>
      </c>
      <c r="D7" t="s">
        <v>15</v>
      </c>
      <c r="E7">
        <v>255</v>
      </c>
      <c r="F7" t="s">
        <v>152</v>
      </c>
      <c r="G7" t="s">
        <v>403</v>
      </c>
      <c r="H7" t="s">
        <v>141</v>
      </c>
      <c r="I7" t="s">
        <v>396</v>
      </c>
      <c r="M7" t="s">
        <v>462</v>
      </c>
      <c r="S7" t="s">
        <v>162</v>
      </c>
      <c r="T7" t="str">
        <f t="shared" si="0"/>
        <v>|cff908060统御法杖|r</v>
      </c>
      <c r="U7" t="str">
        <f t="shared" si="1"/>
        <v>类型限制：主手（|cff0088ff智力|r）|n等级品质：255（|cff908060无双|r）</v>
      </c>
      <c r="V7" t="str">
        <f t="shared" si="2"/>
        <v>类型限制：主手（|cff0088ff智力|r）|n等级品质：255（|cff908060无双|r）|n|n|cffffcc00属性：|r|n+110 攻击力|n+20 力量|n+50 智力|n|cff00ccff功能：|r|n暴击：普通攻击有25%的几率造成200%伤害的暴击。|n|n|cff888888传说拥有这柄法杖的人可以统御任何魔法能量。|r</v>
      </c>
      <c r="W7" t="str">
        <f t="shared" si="3"/>
        <v xml:space="preserve">call SaveInteger(udg_DT,'ITA4',0,$0002006E)_x000D_
call SaveInteger(udg_DT,'ITA4',1,$00060014)_x000D_
call SaveInteger(udg_DT,'ITA4',2,$00080032)_x000D_
call SaveInteger(udg_DT,'ITA4',3,$00110004)_x000D_
</v>
      </c>
    </row>
    <row r="8" spans="1:23">
      <c r="A8" t="s">
        <v>85</v>
      </c>
      <c r="B8" t="s">
        <v>21</v>
      </c>
      <c r="C8" t="s">
        <v>28</v>
      </c>
      <c r="D8" t="s">
        <v>15</v>
      </c>
      <c r="E8">
        <v>255</v>
      </c>
      <c r="F8" t="s">
        <v>152</v>
      </c>
      <c r="G8" t="s">
        <v>261</v>
      </c>
      <c r="H8" t="s">
        <v>143</v>
      </c>
      <c r="M8" t="s">
        <v>148</v>
      </c>
      <c r="S8" t="s">
        <v>163</v>
      </c>
      <c r="T8" t="str">
        <f t="shared" si="0"/>
        <v>|cff908060黑暗法杖|r</v>
      </c>
      <c r="U8" t="str">
        <f t="shared" si="1"/>
        <v>类型限制：主手（|cff0088ff智力|r）|n等级品质：255（|cff908060无双|r）</v>
      </c>
      <c r="V8" t="str">
        <f t="shared" si="2"/>
        <v>类型限制：主手（|cff0088ff智力|r）|n等级品质：255（|cff908060无双|r）|n|n|cffffcc00属性：|r|n+120 攻击力|n+60 智力|n|cff00ccff功能：|r|n暴击：普通攻击有25%的几率造成200%伤害的暴击。|n|n|cff888888死灵法师曾经使用的法杖，是黑暗力量的象征。|r</v>
      </c>
      <c r="W8" t="str">
        <f t="shared" si="3"/>
        <v xml:space="preserve">call SaveInteger(udg_DT,'ITA5',0,$00020078)_x000D_
call SaveInteger(udg_DT,'ITA5',1,$0008003C)_x000D_
call SaveInteger(udg_DT,'ITA5',2,$00110004)_x000D_
</v>
      </c>
    </row>
    <row r="9" spans="1:23">
      <c r="A9" t="s">
        <v>86</v>
      </c>
      <c r="B9" t="s">
        <v>20</v>
      </c>
      <c r="C9" t="s">
        <v>28</v>
      </c>
      <c r="D9" t="s">
        <v>15</v>
      </c>
      <c r="E9">
        <v>255</v>
      </c>
      <c r="F9" t="s">
        <v>152</v>
      </c>
      <c r="G9" t="s">
        <v>448</v>
      </c>
      <c r="H9" t="s">
        <v>397</v>
      </c>
      <c r="I9" t="s">
        <v>144</v>
      </c>
      <c r="M9" t="s">
        <v>149</v>
      </c>
      <c r="S9" t="s">
        <v>164</v>
      </c>
      <c r="T9" t="str">
        <f t="shared" si="0"/>
        <v>|cff908060元素魔杖|r</v>
      </c>
      <c r="U9" t="str">
        <f t="shared" si="1"/>
        <v>类型限制：主手（|cff0088ff智力|r）|n等级品质：255（|cff908060无双|r）</v>
      </c>
      <c r="V9" t="str">
        <f t="shared" si="2"/>
        <v>类型限制：主手（|cff0088ff智力|r）|n等级品质：255（|cff908060无双|r）|n|n|cffffcc00属性：|r|n+140 攻击力|n+30 敏捷|n+50 智力|n|cff00ccff功能：|r|n重击：普通攻击有25%的几率造成额外100点伤害和1秒的昏迷。|n|n|cff888888元素萨满始祖曾经使用过的魔杖，性能均衡威力强大。|r</v>
      </c>
      <c r="W9" t="str">
        <f t="shared" si="3"/>
        <v xml:space="preserve">call SaveInteger(udg_DT,'ITA6',0,$0002008C)_x000D_
call SaveInteger(udg_DT,'ITA6',1,$0007001E)_x000D_
call SaveInteger(udg_DT,'ITA6',2,$00080032)_x000D_
call SaveInteger(udg_DT,'ITA6',3,$00100004)_x000D_
</v>
      </c>
    </row>
    <row r="10" spans="1:23">
      <c r="A10" t="s">
        <v>87</v>
      </c>
      <c r="B10" t="s">
        <v>22</v>
      </c>
      <c r="C10" t="s">
        <v>28</v>
      </c>
      <c r="D10" t="s">
        <v>15</v>
      </c>
      <c r="E10">
        <v>255</v>
      </c>
      <c r="F10" t="s">
        <v>152</v>
      </c>
      <c r="G10" t="s">
        <v>247</v>
      </c>
      <c r="H10" t="s">
        <v>141</v>
      </c>
      <c r="I10" t="s">
        <v>397</v>
      </c>
      <c r="J10" t="s">
        <v>142</v>
      </c>
      <c r="M10" t="s">
        <v>149</v>
      </c>
      <c r="S10" t="s">
        <v>326</v>
      </c>
      <c r="T10" t="str">
        <f t="shared" si="0"/>
        <v>|cff908060皇家权杖|r</v>
      </c>
      <c r="U10" t="str">
        <f t="shared" si="1"/>
        <v>类型限制：主手（|cff0088ff智力|r）|n等级品质：255（|cff908060无双|r）</v>
      </c>
      <c r="V10" t="str">
        <f t="shared" si="2"/>
        <v>类型限制：主手（|cff0088ff智力|r）|n等级品质：255（|cff908060无双|r）|n|n|cffffcc00属性：|r|n+130 攻击力|n+20 力量|n+30 敏捷|n+40 智力|n|cff00ccff功能：|r|n重击：普通攻击有25%的几率造成额外100点伤害和1秒的昏迷。|n|n|cff888888受到了王者祝福的权杖，是高阶牧师的制式装备。|r</v>
      </c>
      <c r="W10" t="str">
        <f t="shared" si="3"/>
        <v xml:space="preserve">call SaveInteger(udg_DT,'ITA7',0,$00020082)_x000D_
call SaveInteger(udg_DT,'ITA7',1,$00060014)_x000D_
call SaveInteger(udg_DT,'ITA7',2,$0007001E)_x000D_
call SaveInteger(udg_DT,'ITA7',3,$00080028)_x000D_
call SaveInteger(udg_DT,'ITA7',4,$00100004)_x000D_
</v>
      </c>
    </row>
    <row r="11" spans="1:23">
      <c r="A11" t="s">
        <v>88</v>
      </c>
      <c r="B11" t="s">
        <v>11</v>
      </c>
      <c r="C11" t="s">
        <v>28</v>
      </c>
      <c r="D11" t="s">
        <v>16</v>
      </c>
      <c r="E11">
        <v>255</v>
      </c>
      <c r="F11" t="s">
        <v>152</v>
      </c>
      <c r="G11" t="s">
        <v>458</v>
      </c>
      <c r="H11" t="s">
        <v>404</v>
      </c>
      <c r="I11" t="s">
        <v>398</v>
      </c>
      <c r="M11" t="s">
        <v>408</v>
      </c>
      <c r="S11" t="s">
        <v>165</v>
      </c>
      <c r="T11" t="str">
        <f t="shared" si="0"/>
        <v>|cff908060灰烬使者|r</v>
      </c>
      <c r="U11" t="str">
        <f t="shared" si="1"/>
        <v>类型限制：主手（|cff00ff00敏捷|r）|n等级品质：255（|cff908060无双|r）</v>
      </c>
      <c r="V11" t="str">
        <f t="shared" si="2"/>
        <v>类型限制：主手（|cff00ff00敏捷|r）|n等级品质：255（|cff908060无双|r）|n|n|cffffcc00属性：|r|n+160 攻击力|n+20 力量|n+50 敏捷|n|cff00ccff功能：|r|n暴击：普通攻击有20%的几率造成200%伤害的暴击。|n|n|cff888888血色十字军领袖之剑，其使者也成为了永恒的传说。|r</v>
      </c>
      <c r="W11" t="str">
        <f t="shared" si="3"/>
        <v xml:space="preserve">call SaveInteger(udg_DT,'ITA8',0,$000200A0)_x000D_
call SaveInteger(udg_DT,'ITA8',1,$00060014)_x000D_
call SaveInteger(udg_DT,'ITA8',2,$00070032)_x000D_
call SaveInteger(udg_DT,'ITA8',3,$00110003)_x000D_
</v>
      </c>
    </row>
    <row r="12" spans="1:23">
      <c r="A12" t="s">
        <v>89</v>
      </c>
      <c r="B12" t="s">
        <v>8</v>
      </c>
      <c r="C12" t="s">
        <v>28</v>
      </c>
      <c r="D12" t="s">
        <v>16</v>
      </c>
      <c r="E12">
        <v>255</v>
      </c>
      <c r="F12" t="s">
        <v>152</v>
      </c>
      <c r="G12" t="s">
        <v>249</v>
      </c>
      <c r="H12" t="s">
        <v>146</v>
      </c>
      <c r="M12" t="s">
        <v>408</v>
      </c>
      <c r="S12" t="s">
        <v>327</v>
      </c>
      <c r="T12" t="str">
        <f t="shared" si="0"/>
        <v>|cff908060恶魔之击|r</v>
      </c>
      <c r="U12" t="str">
        <f t="shared" si="1"/>
        <v>类型限制：主手（|cff00ff00敏捷|r）|n等级品质：255（|cff908060无双|r）</v>
      </c>
      <c r="V12" t="str">
        <f t="shared" si="2"/>
        <v>类型限制：主手（|cff00ff00敏捷|r）|n等级品质：255（|cff908060无双|r）|n|n|cffffcc00属性：|r|n+170 攻击力|n+60 敏捷|n|cff00ccff功能：|r|n暴击：普通攻击有20%的几率造成200%伤害的暴击。|n|n|cff888888艾泽拉斯著名刺客“电池头”曾经使用过的匕首。|r</v>
      </c>
      <c r="W12" t="str">
        <f t="shared" si="3"/>
        <v xml:space="preserve">call SaveInteger(udg_DT,'ITA9',0,$000200AA)_x000D_
call SaveInteger(udg_DT,'ITA9',1,$0007003C)_x000D_
call SaveInteger(udg_DT,'ITA9',2,$00110003)_x000D_
</v>
      </c>
    </row>
    <row r="13" spans="1:23">
      <c r="A13" t="s">
        <v>90</v>
      </c>
      <c r="B13" t="s">
        <v>9</v>
      </c>
      <c r="C13" t="s">
        <v>28</v>
      </c>
      <c r="D13" t="s">
        <v>16</v>
      </c>
      <c r="E13">
        <v>255</v>
      </c>
      <c r="F13" t="s">
        <v>152</v>
      </c>
      <c r="G13" t="s">
        <v>457</v>
      </c>
      <c r="H13" t="s">
        <v>147</v>
      </c>
      <c r="I13" t="s">
        <v>175</v>
      </c>
      <c r="M13" t="s">
        <v>407</v>
      </c>
      <c r="S13" t="s">
        <v>166</v>
      </c>
      <c r="T13" t="str">
        <f t="shared" si="0"/>
        <v>|cff908060手持火炮EX型|r</v>
      </c>
      <c r="U13" t="str">
        <f t="shared" si="1"/>
        <v>类型限制：主手（|cff00ff00敏捷|r）|n等级品质：255（|cff908060无双|r）</v>
      </c>
      <c r="V13" t="str">
        <f t="shared" si="2"/>
        <v>类型限制：主手（|cff00ff00敏捷|r）|n等级品质：255（|cff908060无双|r）|n|n|cffffcc00属性：|r|n+190 攻击力|n+50 敏捷|n+30 智力|n|cff00ccff功能：|r|n重击：普通攻击有20%的几率造成额外75点伤害和1秒的昏迷。|n|n|cff888888枪托上刻着：铁炉堡制造 - 铜须酒类与炸药有限公司。|r</v>
      </c>
      <c r="W13" t="str">
        <f t="shared" si="3"/>
        <v xml:space="preserve">call SaveInteger(udg_DT,'ITAA',0,$000200BE)_x000D_
call SaveInteger(udg_DT,'ITAA',1,$00070032)_x000D_
call SaveInteger(udg_DT,'ITAA',2,$0008001E)_x000D_
call SaveInteger(udg_DT,'ITAA',3,$00100003)_x000D_
</v>
      </c>
    </row>
    <row r="14" spans="1:23">
      <c r="A14" t="s">
        <v>91</v>
      </c>
      <c r="B14" t="s">
        <v>10</v>
      </c>
      <c r="C14" t="s">
        <v>28</v>
      </c>
      <c r="D14" t="s">
        <v>16</v>
      </c>
      <c r="E14">
        <v>255</v>
      </c>
      <c r="F14" t="s">
        <v>152</v>
      </c>
      <c r="G14" t="s">
        <v>248</v>
      </c>
      <c r="H14" t="s">
        <v>141</v>
      </c>
      <c r="I14" t="s">
        <v>145</v>
      </c>
      <c r="J14" t="s">
        <v>395</v>
      </c>
      <c r="M14" t="s">
        <v>407</v>
      </c>
      <c r="S14" t="s">
        <v>167</v>
      </c>
      <c r="T14" t="str">
        <f t="shared" si="0"/>
        <v>|cff908060守护者长弓|r</v>
      </c>
      <c r="U14" t="str">
        <f t="shared" si="1"/>
        <v>类型限制：主手（|cff00ff00敏捷|r）|n等级品质：255（|cff908060无双|r）</v>
      </c>
      <c r="V14" t="str">
        <f t="shared" si="2"/>
        <v>类型限制：主手（|cff00ff00敏捷|r）|n等级品质：255（|cff908060无双|r）|n|n|cffffcc00属性：|r|n+180 攻击力|n+20 力量|n+40 敏捷|n+30 智力|n|cff00ccff功能：|r|n重击：普通攻击有20%的几率造成额外75点伤害和1秒的昏迷。|n|n|cff888888上一任月之女祭司泰兰德的战弓，受到了月神的祝福。|r</v>
      </c>
      <c r="W14" t="str">
        <f t="shared" si="3"/>
        <v xml:space="preserve">call SaveInteger(udg_DT,'ITAB',0,$000200B4)_x000D_
call SaveInteger(udg_DT,'ITAB',1,$00060014)_x000D_
call SaveInteger(udg_DT,'ITAB',2,$00070028)_x000D_
call SaveInteger(udg_DT,'ITAB',3,$0008001E)_x000D_
call SaveInteger(udg_DT,'ITAB',4,$00100003)_x000D_
</v>
      </c>
    </row>
    <row r="15" spans="1:23">
      <c r="T15" t="str">
        <f t="shared" si="0"/>
        <v/>
      </c>
      <c r="U15" t="str">
        <f t="shared" si="1"/>
        <v>类型限制：（）|n等级品质：（）</v>
      </c>
      <c r="V15" t="str">
        <f t="shared" si="2"/>
        <v>类型限制：（）|n等级品质：（）</v>
      </c>
      <c r="W15" t="str">
        <f t="shared" si="3"/>
        <v/>
      </c>
    </row>
    <row r="16" spans="1:23">
      <c r="A16" t="s">
        <v>92</v>
      </c>
      <c r="B16" t="s">
        <v>169</v>
      </c>
      <c r="C16" t="s">
        <v>29</v>
      </c>
      <c r="D16" t="s">
        <v>14</v>
      </c>
      <c r="E16">
        <v>240</v>
      </c>
      <c r="F16" t="s">
        <v>153</v>
      </c>
      <c r="G16" t="s">
        <v>170</v>
      </c>
      <c r="H16" t="s">
        <v>141</v>
      </c>
      <c r="I16" t="s">
        <v>171</v>
      </c>
      <c r="M16" t="s">
        <v>456</v>
      </c>
      <c r="N16" t="s">
        <v>303</v>
      </c>
      <c r="S16" t="s">
        <v>238</v>
      </c>
      <c r="T16" t="str">
        <f t="shared" si="0"/>
        <v>|cffffcc00军团壁垒|r</v>
      </c>
      <c r="U16" t="str">
        <f t="shared" si="1"/>
        <v>类型限制：副手（|cffff0000力量|r）|n等级品质：240（|cffffcc00旷世|r）</v>
      </c>
      <c r="V16" t="str">
        <f t="shared" si="2"/>
        <v>类型限制：副手（|cffff0000力量|r）|n等级品质：240（|cffffcc00旷世|r）|n|n|cffffcc00属性：|r|n+400 生命值|n+20 力量|n+10 敏捷|n|cff00ccff功能：|r|n+125 格挡值|n+10 生命补充|n|n|cff888888萨鲁法尔曾经用过的盾牌，可以格挡开任何有威胁的攻击。|r</v>
      </c>
      <c r="W16" t="str">
        <f t="shared" si="3"/>
        <v xml:space="preserve">call SaveInteger(udg_DT,'ITB0',0,$00000190)_x000D_
call SaveInteger(udg_DT,'ITB0',1,$00060014)_x000D_
call SaveInteger(udg_DT,'ITB0',2,$0007000A)_x000D_
call SaveInteger(udg_DT,'ITB0',3,$000E0005)_x000D_
call SaveInteger(udg_DT,'ITB0',4,$00F2000A)_x000D_
</v>
      </c>
    </row>
    <row r="17" spans="1:23">
      <c r="A17" t="s">
        <v>93</v>
      </c>
      <c r="B17" t="s">
        <v>240</v>
      </c>
      <c r="C17" t="s">
        <v>29</v>
      </c>
      <c r="D17" t="s">
        <v>14</v>
      </c>
      <c r="E17">
        <v>240</v>
      </c>
      <c r="F17" t="s">
        <v>153</v>
      </c>
      <c r="G17" t="s">
        <v>232</v>
      </c>
      <c r="H17" t="s">
        <v>263</v>
      </c>
      <c r="I17" t="s">
        <v>141</v>
      </c>
      <c r="M17" t="s">
        <v>282</v>
      </c>
      <c r="N17" t="s">
        <v>266</v>
      </c>
      <c r="S17" t="s">
        <v>239</v>
      </c>
      <c r="T17" t="str">
        <f t="shared" si="0"/>
        <v>|cffffcc00骸骨墙盾|r</v>
      </c>
      <c r="U17" t="str">
        <f t="shared" si="1"/>
        <v>类型限制：副手（|cffff0000力量|r）|n等级品质：240（|cffffcc00旷世|r）</v>
      </c>
      <c r="V17" t="str">
        <f t="shared" si="2"/>
        <v>类型限制：副手（|cffff0000力量|r）|n等级品质：240（|cffffcc00旷世|r）|n|n|cffffcc00属性：|r|n+500 生命值|n+150 魔法值|n+20 力量|n|cff00ccff功能：|r|n+20% 伤害反弹|n+20 生命补充|n|n|cff888888骷髅王李奥瑞克的骸骨盾牌，上面布满了盾刺。|r</v>
      </c>
      <c r="W17" t="str">
        <f t="shared" si="3"/>
        <v xml:space="preserve">call SaveInteger(udg_DT,'ITB1',0,$000001F4)_x000D_
call SaveInteger(udg_DT,'ITB1',1,$00010096)_x000D_
call SaveInteger(udg_DT,'ITB1',2,$00060014)_x000D_
call SaveInteger(udg_DT,'ITB1',3,$000D0004)_x000D_
call SaveInteger(udg_DT,'ITB1',4,$00F20014)_x000D_
</v>
      </c>
    </row>
    <row r="18" spans="1:23">
      <c r="A18" t="s">
        <v>94</v>
      </c>
      <c r="B18" t="s">
        <v>168</v>
      </c>
      <c r="C18" t="s">
        <v>29</v>
      </c>
      <c r="D18" t="s">
        <v>14</v>
      </c>
      <c r="E18">
        <v>240</v>
      </c>
      <c r="F18" t="s">
        <v>153</v>
      </c>
      <c r="G18" t="s">
        <v>170</v>
      </c>
      <c r="H18" t="s">
        <v>177</v>
      </c>
      <c r="I18" t="s">
        <v>176</v>
      </c>
      <c r="M18" t="s">
        <v>280</v>
      </c>
      <c r="N18" t="s">
        <v>304</v>
      </c>
      <c r="S18" t="s">
        <v>242</v>
      </c>
      <c r="T18" t="str">
        <f t="shared" si="0"/>
        <v>|cffffcc00部落战旗|r</v>
      </c>
      <c r="U18" t="str">
        <f t="shared" si="1"/>
        <v>类型限制：副手（|cffff0000力量|r）|n等级品质：240（|cffffcc00旷世|r）</v>
      </c>
      <c r="V18" t="str">
        <f t="shared" si="2"/>
        <v>类型限制：副手（|cffff0000力量|r）|n等级品质：240（|cffffcc00旷世|r）|n|n|cffffcc00属性：|r|n+400 生命值|n+300 魔法值|n+10 力量|n|cff00ccff功能：|r|n+15% 闪避率|n+10 魔法补充|n|n|cff888888奥格瑞玛的军旗，随着部落的英雄们参与了无数次的战斗。|r</v>
      </c>
      <c r="W18" t="str">
        <f t="shared" si="3"/>
        <v xml:space="preserve">call SaveInteger(udg_DT,'ITB2',0,$00000190)_x000D_
call SaveInteger(udg_DT,'ITB2',1,$0001012C)_x000D_
call SaveInteger(udg_DT,'ITB2',2,$0006000A)_x000D_
call SaveInteger(udg_DT,'ITB2',3,$000C0003)_x000D_
call SaveInteger(udg_DT,'ITB2',4,$00F3000A)_x000D_
</v>
      </c>
    </row>
    <row r="19" spans="1:23">
      <c r="A19" t="s">
        <v>95</v>
      </c>
      <c r="B19" t="s">
        <v>19</v>
      </c>
      <c r="C19" t="s">
        <v>29</v>
      </c>
      <c r="D19" t="s">
        <v>15</v>
      </c>
      <c r="E19">
        <v>240</v>
      </c>
      <c r="F19" t="s">
        <v>153</v>
      </c>
      <c r="G19" t="s">
        <v>170</v>
      </c>
      <c r="H19" t="s">
        <v>173</v>
      </c>
      <c r="I19" t="s">
        <v>176</v>
      </c>
      <c r="J19" t="s">
        <v>174</v>
      </c>
      <c r="M19" t="s">
        <v>233</v>
      </c>
      <c r="N19" t="s">
        <v>303</v>
      </c>
      <c r="S19" t="s">
        <v>328</v>
      </c>
      <c r="T19" t="str">
        <f t="shared" si="0"/>
        <v>|cffffcc00神圣法典|r</v>
      </c>
      <c r="U19" t="str">
        <f t="shared" si="1"/>
        <v>类型限制：副手（|cff0088ff智力|r）|n等级品质：240（|cffffcc00旷世|r）</v>
      </c>
      <c r="V19" t="str">
        <f t="shared" si="2"/>
        <v>类型限制：副手（|cff0088ff智力|r）|n等级品质：240（|cffffcc00旷世|r）|n|n|cffffcc00属性：|r|n+400 生命值|n+400 魔法值|n+10 力量|n+20 智力|n|cff00ccff功能：|r|n+100 格挡值|n+10 生命补充|n|n|cff888888这本记录了圣光奥义的法典属于圣骑士图拉扬。|r</v>
      </c>
      <c r="W19" t="str">
        <f t="shared" si="3"/>
        <v xml:space="preserve">call SaveInteger(udg_DT,'ITB3',0,$00000190)_x000D_
call SaveInteger(udg_DT,'ITB3',1,$00010190)_x000D_
call SaveInteger(udg_DT,'ITB3',2,$0006000A)_x000D_
call SaveInteger(udg_DT,'ITB3',3,$00080014)_x000D_
call SaveInteger(udg_DT,'ITB3',4,$000E0004)_x000D_
call SaveInteger(udg_DT,'ITB3',5,$00F2000A)_x000D_
</v>
      </c>
    </row>
    <row r="20" spans="1:23">
      <c r="A20" t="s">
        <v>96</v>
      </c>
      <c r="B20" t="s">
        <v>18</v>
      </c>
      <c r="C20" t="s">
        <v>29</v>
      </c>
      <c r="D20" t="s">
        <v>15</v>
      </c>
      <c r="E20">
        <v>240</v>
      </c>
      <c r="F20" t="s">
        <v>153</v>
      </c>
      <c r="G20" t="s">
        <v>170</v>
      </c>
      <c r="H20" t="s">
        <v>177</v>
      </c>
      <c r="I20" t="s">
        <v>175</v>
      </c>
      <c r="M20" t="s">
        <v>280</v>
      </c>
      <c r="N20" t="s">
        <v>304</v>
      </c>
      <c r="S20" t="s">
        <v>336</v>
      </c>
      <c r="T20" t="str">
        <f t="shared" si="0"/>
        <v>|cffffcc00亡者之书|r</v>
      </c>
      <c r="U20" t="str">
        <f t="shared" si="1"/>
        <v>类型限制：副手（|cff0088ff智力|r）|n等级品质：240（|cffffcc00旷世|r）</v>
      </c>
      <c r="V20" t="str">
        <f t="shared" si="2"/>
        <v>类型限制：副手（|cff0088ff智力|r）|n等级品质：240（|cffffcc00旷世|r）|n|n|cffffcc00属性：|r|n+400 生命值|n+300 魔法值|n+30 智力|n|cff00ccff功能：|r|n+15% 闪避率|n+10 魔法补充|n|n|cff888888克尔苏加德撰写的记录了天灾法术的禁书。|r</v>
      </c>
      <c r="W20" t="str">
        <f t="shared" si="3"/>
        <v xml:space="preserve">call SaveInteger(udg_DT,'ITB4',0,$00000190)_x000D_
call SaveInteger(udg_DT,'ITB4',1,$0001012C)_x000D_
call SaveInteger(udg_DT,'ITB4',2,$0008001E)_x000D_
call SaveInteger(udg_DT,'ITB4',3,$000C0003)_x000D_
call SaveInteger(udg_DT,'ITB4',4,$00F3000A)_x000D_
</v>
      </c>
    </row>
    <row r="21" spans="1:23">
      <c r="A21" t="s">
        <v>97</v>
      </c>
      <c r="B21" t="s">
        <v>17</v>
      </c>
      <c r="C21" t="s">
        <v>29</v>
      </c>
      <c r="D21" t="s">
        <v>15</v>
      </c>
      <c r="E21">
        <v>240</v>
      </c>
      <c r="F21" t="s">
        <v>153</v>
      </c>
      <c r="G21" t="s">
        <v>285</v>
      </c>
      <c r="H21" t="s">
        <v>288</v>
      </c>
      <c r="I21" t="s">
        <v>414</v>
      </c>
      <c r="M21" t="s">
        <v>266</v>
      </c>
      <c r="N21" t="s">
        <v>265</v>
      </c>
      <c r="S21" t="s">
        <v>329</v>
      </c>
      <c r="T21" t="str">
        <f t="shared" si="0"/>
        <v>|cffffcc00邪能颅骨|r</v>
      </c>
      <c r="U21" t="str">
        <f t="shared" si="1"/>
        <v>类型限制：副手（|cff0088ff智力|r）|n等级品质：240（|cffffcc00旷世|r）</v>
      </c>
      <c r="V21" t="str">
        <f t="shared" si="2"/>
        <v>类型限制：副手（|cff0088ff智力|r）|n等级品质：240（|cffffcc00旷世|r）|n|n|cffffcc00属性：|r|n+600 生命值|n+500 魔法值|n+30 智力|n|cff00ccff功能：|r|n+20 生命补充|n+30 魔法补充|n|n|cff888888当伊利丹在黑暗神殿战败后，这颗神秘颅骨的下落完全成为了一个谜。|r</v>
      </c>
      <c r="W21" t="str">
        <f t="shared" si="3"/>
        <v xml:space="preserve">call SaveInteger(udg_DT,'ITB5',0,$00000258)_x000D_
call SaveInteger(udg_DT,'ITB5',1,$000101F4)_x000D_
call SaveInteger(udg_DT,'ITB5',2,$0008001E)_x000D_
call SaveInteger(udg_DT,'ITB5',3,$00F20014)_x000D_
call SaveInteger(udg_DT,'ITB5',4,$00F3001E)_x000D_
</v>
      </c>
    </row>
    <row r="22" spans="1:23">
      <c r="A22" t="s">
        <v>98</v>
      </c>
      <c r="B22" t="s">
        <v>53</v>
      </c>
      <c r="C22" t="s">
        <v>29</v>
      </c>
      <c r="D22" t="s">
        <v>16</v>
      </c>
      <c r="E22">
        <v>240</v>
      </c>
      <c r="F22" t="s">
        <v>153</v>
      </c>
      <c r="G22" t="s">
        <v>170</v>
      </c>
      <c r="H22" t="s">
        <v>177</v>
      </c>
      <c r="I22" t="s">
        <v>176</v>
      </c>
      <c r="J22" t="s">
        <v>235</v>
      </c>
      <c r="M22" t="s">
        <v>233</v>
      </c>
      <c r="N22" t="s">
        <v>303</v>
      </c>
      <c r="S22" t="s">
        <v>243</v>
      </c>
      <c r="T22" t="str">
        <f t="shared" si="0"/>
        <v>|cffffcc00黑石棍|r</v>
      </c>
      <c r="U22" t="str">
        <f t="shared" si="1"/>
        <v>类型限制：副手（|cff00ff00敏捷|r）|n等级品质：240（|cffffcc00旷世|r）</v>
      </c>
      <c r="V22" t="str">
        <f t="shared" si="2"/>
        <v>类型限制：副手（|cff00ff00敏捷|r）|n等级品质：240（|cffffcc00旷世|r）|n|n|cffffcc00属性：|r|n+400 生命值|n+300 魔法值|n+10 力量|n+20 敏捷|n|cff00ccff功能：|r|n+100 格挡值|n+10 生命补充|n|n|cff888888这柄由黑铁打造的棍棒铸造于黑石深渊的深处。|r</v>
      </c>
      <c r="W22" t="str">
        <f t="shared" si="3"/>
        <v xml:space="preserve">call SaveInteger(udg_DT,'ITB6',0,$00000190)_x000D_
call SaveInteger(udg_DT,'ITB6',1,$0001012C)_x000D_
call SaveInteger(udg_DT,'ITB6',2,$0006000A)_x000D_
call SaveInteger(udg_DT,'ITB6',3,$00070014)_x000D_
call SaveInteger(udg_DT,'ITB6',4,$000E0004)_x000D_
call SaveInteger(udg_DT,'ITB6',5,$00F2000A)_x000D_
</v>
      </c>
    </row>
    <row r="23" spans="1:23">
      <c r="A23" t="s">
        <v>99</v>
      </c>
      <c r="B23" t="s">
        <v>54</v>
      </c>
      <c r="C23" t="s">
        <v>29</v>
      </c>
      <c r="D23" t="s">
        <v>16</v>
      </c>
      <c r="E23">
        <v>240</v>
      </c>
      <c r="F23" t="s">
        <v>153</v>
      </c>
      <c r="G23" t="s">
        <v>230</v>
      </c>
      <c r="H23" t="s">
        <v>177</v>
      </c>
      <c r="I23" t="s">
        <v>235</v>
      </c>
      <c r="M23" t="s">
        <v>241</v>
      </c>
      <c r="N23" t="s">
        <v>304</v>
      </c>
      <c r="S23" t="s">
        <v>244</v>
      </c>
      <c r="T23" t="str">
        <f t="shared" si="0"/>
        <v>|cffffcc00刺杀之爪|r</v>
      </c>
      <c r="U23" t="str">
        <f t="shared" si="1"/>
        <v>类型限制：副手（|cff00ff00敏捷|r）|n等级品质：240（|cffffcc00旷世|r）</v>
      </c>
      <c r="V23" t="str">
        <f t="shared" si="2"/>
        <v>类型限制：副手（|cff00ff00敏捷|r）|n等级品质：240（|cffffcc00旷世|r）|n|n|cffffcc00属性：|r|n+300 生命值|n+300 魔法值|n+20 敏捷|n|cff00ccff功能：|r|n+20% 闪避率|n+10 魔法补充|n|n|cff888888刺客们的最爱的凶器之一，常常和毒药配合使用。|r</v>
      </c>
      <c r="W23" t="str">
        <f t="shared" si="3"/>
        <v xml:space="preserve">call SaveInteger(udg_DT,'ITB7',0,$0000012C)_x000D_
call SaveInteger(udg_DT,'ITB7',1,$0001012C)_x000D_
call SaveInteger(udg_DT,'ITB7',2,$00070014)_x000D_
call SaveInteger(udg_DT,'ITB7',3,$000C0004)_x000D_
call SaveInteger(udg_DT,'ITB7',4,$00F3000A)_x000D_
</v>
      </c>
    </row>
    <row r="24" spans="1:23">
      <c r="A24" t="s">
        <v>100</v>
      </c>
      <c r="B24" t="s">
        <v>26</v>
      </c>
      <c r="C24" t="s">
        <v>29</v>
      </c>
      <c r="D24" t="s">
        <v>16</v>
      </c>
      <c r="E24">
        <v>240</v>
      </c>
      <c r="F24" t="s">
        <v>153</v>
      </c>
      <c r="G24" t="s">
        <v>285</v>
      </c>
      <c r="H24" t="s">
        <v>455</v>
      </c>
      <c r="I24" t="s">
        <v>235</v>
      </c>
      <c r="J24" t="s">
        <v>264</v>
      </c>
      <c r="M24" t="s">
        <v>281</v>
      </c>
      <c r="N24" t="s">
        <v>266</v>
      </c>
      <c r="S24" t="s">
        <v>245</v>
      </c>
      <c r="T24" t="str">
        <f t="shared" si="0"/>
        <v>|cffffcc00德鲁伊利爪|r</v>
      </c>
      <c r="U24" t="str">
        <f t="shared" si="1"/>
        <v>类型限制：副手（|cff00ff00敏捷|r）|n等级品质：240（|cffffcc00旷世|r）</v>
      </c>
      <c r="V24" t="str">
        <f t="shared" si="2"/>
        <v>类型限制：副手（|cff00ff00敏捷|r）|n等级品质：240（|cffffcc00旷世|r）|n|n|cffffcc00属性：|r|n+600 生命值|n+450 魔法值|n+20 敏捷|n+10 智力|n|cff00ccff功能：|r|n+20% 穿刺抗性|n+20 生命补充|n|n|cff888888德鲁伊们所使用的附过魔的兽爪，其中蕴含了强大的自然力量。|r</v>
      </c>
      <c r="W24" t="str">
        <f t="shared" si="3"/>
        <v xml:space="preserve">call SaveInteger(udg_DT,'ITB8',0,$00000258)_x000D_
call SaveInteger(udg_DT,'ITB8',1,$000101C2)_x000D_
call SaveInteger(udg_DT,'ITB8',2,$00070014)_x000D_
call SaveInteger(udg_DT,'ITB8',3,$0008000A)_x000D_
call SaveInteger(udg_DT,'ITB8',4,$000B0004)_x000D_
call SaveInteger(udg_DT,'ITB8',5,$00F20014)_x000D_
</v>
      </c>
    </row>
    <row r="25" spans="1:23">
      <c r="A25" t="s">
        <v>101</v>
      </c>
      <c r="B25" t="s">
        <v>24</v>
      </c>
      <c r="C25" t="s">
        <v>29</v>
      </c>
      <c r="D25" t="s">
        <v>27</v>
      </c>
      <c r="E25">
        <v>240</v>
      </c>
      <c r="F25" t="s">
        <v>153</v>
      </c>
      <c r="G25" t="s">
        <v>172</v>
      </c>
      <c r="H25" t="s">
        <v>263</v>
      </c>
      <c r="I25" t="s">
        <v>229</v>
      </c>
      <c r="M25" t="s">
        <v>272</v>
      </c>
      <c r="N25" t="s">
        <v>236</v>
      </c>
      <c r="S25" t="s">
        <v>330</v>
      </c>
      <c r="T25" t="str">
        <f t="shared" si="0"/>
        <v>|cffffcc00寒冰宝珠|r</v>
      </c>
      <c r="U25" t="str">
        <f t="shared" si="1"/>
        <v>类型限制：副手（|cffcccccc通用|r）|n等级品质：240（|cffffcc00旷世|r）</v>
      </c>
      <c r="V25" t="str">
        <f t="shared" si="2"/>
        <v>类型限制：副手（|cffcccccc通用|r）|n等级品质：240（|cffffcc00旷世|r）|n|n|cffffcc00属性：|r|n+200 生命值|n+150 魔法值|n+10 全能|n|cff00ccff功能：|r|n+5% 魔法抗性|n冰霜：能让英雄的攻击带有40点的冰冻伤害，在6秒内减慢敌人的攻击和移动速度。法球能使近战英雄对空时变成远程攻击。|n|n|cff888888这颗完全由冰霜能量凝结而成的珠子，被发现于皇冠冰川的深处。|r</v>
      </c>
      <c r="W25" t="str">
        <f t="shared" si="3"/>
        <v xml:space="preserve">call SaveInteger(udg_DT,'ITB9',0,$000000C8)_x000D_
call SaveInteger(udg_DT,'ITB9',1,$00010096)_x000D_
call SaveInteger(udg_DT,'ITB9',2,$0005000A)_x000D_
call SaveInteger(udg_DT,'ITB9',3,$000A0001)_x000D_
call SaveInteger(udg_DT,'ITB9',4,$00120004)_x000D_
</v>
      </c>
    </row>
    <row r="26" spans="1:23">
      <c r="A26" t="s">
        <v>102</v>
      </c>
      <c r="B26" t="s">
        <v>25</v>
      </c>
      <c r="C26" t="s">
        <v>29</v>
      </c>
      <c r="D26" t="s">
        <v>27</v>
      </c>
      <c r="E26">
        <v>240</v>
      </c>
      <c r="F26" t="s">
        <v>153</v>
      </c>
      <c r="G26" t="s">
        <v>172</v>
      </c>
      <c r="H26" t="s">
        <v>263</v>
      </c>
      <c r="I26" t="s">
        <v>229</v>
      </c>
      <c r="M26" t="s">
        <v>272</v>
      </c>
      <c r="N26" t="s">
        <v>237</v>
      </c>
      <c r="S26" t="s">
        <v>331</v>
      </c>
      <c r="T26" t="str">
        <f t="shared" si="0"/>
        <v>|cffffcc00闪电宝珠|r</v>
      </c>
      <c r="U26" t="str">
        <f t="shared" si="1"/>
        <v>类型限制：副手（|cffcccccc通用|r）|n等级品质：240（|cffffcc00旷世|r）</v>
      </c>
      <c r="V26" t="str">
        <f t="shared" si="2"/>
        <v>类型限制：副手（|cffcccccc通用|r）|n等级品质：240（|cffffcc00旷世|r）|n|n|cffffcc00属性：|r|n+200 生命值|n+150 魔法值|n+10 全能|n|cff00ccff功能：|r|n+5% 魔法抗性|n闪电：能让英雄的攻击带有40点的闪电伤害，有一定概率净化目标并对召唤单位能造成600点的伤害。法球能使近战英雄对空时变成远程攻击。|n|n|cff888888这颗蕴含了无尽闪电能量的宝珠的来历完全是个谜。|r</v>
      </c>
      <c r="W26" t="str">
        <f t="shared" si="3"/>
        <v xml:space="preserve">call SaveInteger(udg_DT,'ITBA',0,$000000C8)_x000D_
call SaveInteger(udg_DT,'ITBA',1,$00010096)_x000D_
call SaveInteger(udg_DT,'ITBA',2,$0005000A)_x000D_
call SaveInteger(udg_DT,'ITBA',3,$000A0001)_x000D_
call SaveInteger(udg_DT,'ITBA',4,$00140004)_x000D_
</v>
      </c>
    </row>
    <row r="27" spans="1:23">
      <c r="A27" t="s">
        <v>103</v>
      </c>
      <c r="B27" t="s">
        <v>401</v>
      </c>
      <c r="C27" t="s">
        <v>29</v>
      </c>
      <c r="D27" t="s">
        <v>27</v>
      </c>
      <c r="E27">
        <v>240</v>
      </c>
      <c r="F27" t="s">
        <v>153</v>
      </c>
      <c r="G27" t="s">
        <v>172</v>
      </c>
      <c r="H27" t="s">
        <v>263</v>
      </c>
      <c r="I27" t="s">
        <v>229</v>
      </c>
      <c r="M27" t="s">
        <v>272</v>
      </c>
      <c r="N27" t="s">
        <v>400</v>
      </c>
      <c r="S27" t="s">
        <v>402</v>
      </c>
      <c r="T27" t="str">
        <f t="shared" si="0"/>
        <v>|cffffcc00腐蚀宝珠|r</v>
      </c>
      <c r="U27" t="str">
        <f t="shared" si="1"/>
        <v>类型限制：副手（|cffcccccc通用|r）|n等级品质：240（|cffffcc00旷世|r）</v>
      </c>
      <c r="V27" t="str">
        <f t="shared" si="2"/>
        <v>类型限制：副手（|cffcccccc通用|r）|n等级品质：240（|cffffcc00旷世|r）|n|n|cffffcc00属性：|r|n+200 生命值|n+150 魔法值|n+10 全能|n|cff00ccff功能：|r|n+5% 魔法抗性|n腐蚀：能让英雄的攻击带有20点的酸性伤害，在5秒内削弱目标8点的护甲。法球能使近战英雄对空时变成远程攻击。|n|n|cff888888由远古的暗夜精灵们利用奇美拉的毒液炼制而成的神奇珠宝。|r</v>
      </c>
      <c r="W27" t="str">
        <f t="shared" si="3"/>
        <v xml:space="preserve">call SaveInteger(udg_DT,'ITBB',0,$000000C8)_x000D_
call SaveInteger(udg_DT,'ITBB',1,$00010096)_x000D_
call SaveInteger(udg_DT,'ITBB',2,$0005000A)_x000D_
call SaveInteger(udg_DT,'ITBB',3,$000A0001)_x000D_
call SaveInteger(udg_DT,'ITBB',4,$00160004)_x000D_
</v>
      </c>
    </row>
    <row r="28" spans="1:23">
      <c r="T28" t="str">
        <f t="shared" si="0"/>
        <v/>
      </c>
      <c r="U28" t="str">
        <f t="shared" si="1"/>
        <v>类型限制：（）|n等级品质：（）</v>
      </c>
      <c r="V28" t="str">
        <f t="shared" si="2"/>
        <v>类型限制：（）|n等级品质：（）</v>
      </c>
      <c r="W28" t="str">
        <f t="shared" si="3"/>
        <v/>
      </c>
    </row>
    <row r="29" spans="1:23">
      <c r="A29" t="s">
        <v>104</v>
      </c>
      <c r="B29" t="s">
        <v>32</v>
      </c>
      <c r="C29" t="s">
        <v>41</v>
      </c>
      <c r="D29" t="s">
        <v>14</v>
      </c>
      <c r="E29">
        <v>225</v>
      </c>
      <c r="F29" t="s">
        <v>154</v>
      </c>
      <c r="G29" t="s">
        <v>276</v>
      </c>
      <c r="H29" t="s">
        <v>232</v>
      </c>
      <c r="I29" t="s">
        <v>231</v>
      </c>
      <c r="M29" t="s">
        <v>272</v>
      </c>
      <c r="N29" t="s">
        <v>279</v>
      </c>
      <c r="S29" t="s">
        <v>333</v>
      </c>
      <c r="T29" t="str">
        <f t="shared" si="0"/>
        <v>|cffff0088狂暴者之盔|r</v>
      </c>
      <c r="U29" t="str">
        <f t="shared" si="1"/>
        <v>类型限制：头部（|cffff0000力量|r）|n等级品质：225（|cffff0088传说|r）</v>
      </c>
      <c r="V29" t="str">
        <f t="shared" si="2"/>
        <v>类型限制：头部（|cffff0000力量|r）|n等级品质：225（|cffff0088传说|r）|n|n|cffffcc00属性：|r|n+11 护甲|n+500 生命值|n+200 魔法值|n|cff00ccff功能：|r|n+5% 魔法抗性|n+10% 闪避率|n|n|cff888888地狱咆哮的头盔，融合了他那坚强的意志。|r</v>
      </c>
      <c r="W29" t="str">
        <f t="shared" si="3"/>
        <v xml:space="preserve">call SaveInteger(udg_DT,'ITC0',0,$0003000B)_x000D_
call SaveInteger(udg_DT,'ITC0',1,$000001F4)_x000D_
call SaveInteger(udg_DT,'ITC0',2,$000100C8)_x000D_
call SaveInteger(udg_DT,'ITC0',3,$000A0001)_x000D_
call SaveInteger(udg_DT,'ITC0',4,$000C0002)_x000D_
</v>
      </c>
    </row>
    <row r="30" spans="1:23">
      <c r="A30" t="s">
        <v>105</v>
      </c>
      <c r="B30" t="s">
        <v>30</v>
      </c>
      <c r="C30" t="s">
        <v>41</v>
      </c>
      <c r="D30" t="s">
        <v>14</v>
      </c>
      <c r="E30">
        <v>225</v>
      </c>
      <c r="F30" t="s">
        <v>154</v>
      </c>
      <c r="G30" t="s">
        <v>275</v>
      </c>
      <c r="H30" t="s">
        <v>232</v>
      </c>
      <c r="I30" t="s">
        <v>177</v>
      </c>
      <c r="M30" t="s">
        <v>272</v>
      </c>
      <c r="N30" t="s">
        <v>389</v>
      </c>
      <c r="S30" t="s">
        <v>334</v>
      </c>
      <c r="T30" t="str">
        <f t="shared" si="0"/>
        <v>|cffff0088骑士团战盔|r</v>
      </c>
      <c r="U30" t="str">
        <f t="shared" si="1"/>
        <v>类型限制：头部（|cffff0000力量|r）|n等级品质：225（|cffff0088传说|r）</v>
      </c>
      <c r="V30" t="str">
        <f t="shared" si="2"/>
        <v>类型限制：头部（|cffff0000力量|r）|n等级品质：225（|cffff0088传说|r）|n|n|cffffcc00属性：|r|n+12 护甲|n+500 生命值|n+300 魔法值|n|cff00ccff功能：|r|n+5% 魔法抗性|n+75 格挡值|n|n|cff888888安杜因洛萨爵士曾经佩戴过的头盔，坚韧无比。|r</v>
      </c>
      <c r="W30" t="str">
        <f t="shared" si="3"/>
        <v xml:space="preserve">call SaveInteger(udg_DT,'ITC1',0,$0003000C)_x000D_
call SaveInteger(udg_DT,'ITC1',1,$000001F4)_x000D_
call SaveInteger(udg_DT,'ITC1',2,$0001012C)_x000D_
call SaveInteger(udg_DT,'ITC1',3,$000A0001)_x000D_
call SaveInteger(udg_DT,'ITC1',4,$000E0003)_x000D_
</v>
      </c>
    </row>
    <row r="31" spans="1:23">
      <c r="A31" t="s">
        <v>106</v>
      </c>
      <c r="B31" t="s">
        <v>31</v>
      </c>
      <c r="C31" t="s">
        <v>41</v>
      </c>
      <c r="D31" t="s">
        <v>14</v>
      </c>
      <c r="E31">
        <v>225</v>
      </c>
      <c r="F31" t="s">
        <v>154</v>
      </c>
      <c r="G31" t="s">
        <v>293</v>
      </c>
      <c r="H31" t="s">
        <v>232</v>
      </c>
      <c r="I31" t="s">
        <v>284</v>
      </c>
      <c r="M31" t="s">
        <v>278</v>
      </c>
      <c r="N31" t="s">
        <v>310</v>
      </c>
      <c r="S31" t="s">
        <v>332</v>
      </c>
      <c r="T31" t="str">
        <f t="shared" si="0"/>
        <v>|cffff0088黑铁头盔|r</v>
      </c>
      <c r="U31" t="str">
        <f t="shared" si="1"/>
        <v>类型限制：头部（|cffff0000力量|r）|n等级品质：225（|cffff0088传说|r）</v>
      </c>
      <c r="V31" t="str">
        <f t="shared" si="2"/>
        <v>类型限制：头部（|cffff0000力量|r）|n等级品质：225（|cffff0088传说|r）|n|n|cffffcc00属性：|r|n+10 护甲|n+500 生命值|n+300 魔法值|n|cff00ccff功能：|r|n+10% 魔法抗性|n+20% 穿刺抗性|n|n|cff888888这件代表了铜须家族荣誉的强大头盔铸造于铁炉堡。|r</v>
      </c>
      <c r="W31" t="str">
        <f t="shared" si="3"/>
        <v xml:space="preserve">call SaveInteger(udg_DT,'ITC2',0,$0003000A)_x000D_
call SaveInteger(udg_DT,'ITC2',1,$000001F4)_x000D_
call SaveInteger(udg_DT,'ITC2',2,$0001012C)_x000D_
call SaveInteger(udg_DT,'ITC2',3,$000A0002)_x000D_
call SaveInteger(udg_DT,'ITC2',4,$000B0004)_x000D_
</v>
      </c>
    </row>
    <row r="32" spans="1:23">
      <c r="A32" t="s">
        <v>107</v>
      </c>
      <c r="B32" t="s">
        <v>35</v>
      </c>
      <c r="C32" t="s">
        <v>41</v>
      </c>
      <c r="D32" t="s">
        <v>15</v>
      </c>
      <c r="E32">
        <v>225</v>
      </c>
      <c r="F32" t="s">
        <v>154</v>
      </c>
      <c r="G32" t="s">
        <v>270</v>
      </c>
      <c r="H32" t="s">
        <v>230</v>
      </c>
      <c r="I32" t="s">
        <v>288</v>
      </c>
      <c r="M32" t="s">
        <v>277</v>
      </c>
      <c r="N32" t="s">
        <v>280</v>
      </c>
      <c r="S32" t="s">
        <v>335</v>
      </c>
      <c r="T32" t="str">
        <f t="shared" si="0"/>
        <v>|cffff0088咒术师兜帽|r</v>
      </c>
      <c r="U32" t="str">
        <f t="shared" si="1"/>
        <v>类型限制：头部（|cff0088ff智力|r）|n等级品质：225（|cffff0088传说|r）</v>
      </c>
      <c r="V32" t="str">
        <f t="shared" si="2"/>
        <v>类型限制：头部（|cff0088ff智力|r）|n等级品质：225（|cffff0088传说|r）|n|n|cffffcc00属性：|r|n+8 护甲|n+300 生命值|n+500 魔法值|n|cff00ccff功能：|r|n+20% 魔法抗性|n+15% 闪避率|n|n|cff888888德拉克苏尔的兜帽，由最精美的恶魔布制成。|r</v>
      </c>
      <c r="W32" t="str">
        <f t="shared" si="3"/>
        <v xml:space="preserve">call SaveInteger(udg_DT,'ITC3',0,$00030008)_x000D_
call SaveInteger(udg_DT,'ITC3',1,$0000012C)_x000D_
call SaveInteger(udg_DT,'ITC3',2,$000101F4)_x000D_
call SaveInteger(udg_DT,'ITC3',3,$000A0004)_x000D_
call SaveInteger(udg_DT,'ITC3',4,$000C0003)_x000D_
</v>
      </c>
    </row>
    <row r="33" spans="1:23">
      <c r="A33" t="s">
        <v>108</v>
      </c>
      <c r="B33" t="s">
        <v>39</v>
      </c>
      <c r="C33" t="s">
        <v>41</v>
      </c>
      <c r="D33" t="s">
        <v>15</v>
      </c>
      <c r="E33">
        <v>225</v>
      </c>
      <c r="F33" t="s">
        <v>154</v>
      </c>
      <c r="G33" t="s">
        <v>287</v>
      </c>
      <c r="H33" t="s">
        <v>170</v>
      </c>
      <c r="I33" t="s">
        <v>289</v>
      </c>
      <c r="M33" t="s">
        <v>291</v>
      </c>
      <c r="N33" t="s">
        <v>296</v>
      </c>
      <c r="S33" t="s">
        <v>337</v>
      </c>
      <c r="T33" t="str">
        <f t="shared" si="0"/>
        <v>|cffff0088巫毒面具|r</v>
      </c>
      <c r="U33" t="str">
        <f t="shared" si="1"/>
        <v>类型限制：头部（|cff0088ff智力|r）|n等级品质：225（|cffff0088传说|r）</v>
      </c>
      <c r="V33" t="str">
        <f t="shared" si="2"/>
        <v>类型限制：头部（|cff0088ff智力|r）|n等级品质：225（|cffff0088传说|r）|n|n|cffffcc00属性：|r|n+6 护甲|n+400 生命值|n+400 魔法值|n|cff00ccff功能：|r|n+30% 魔法抗性|n+15% 伤害反弹|n|n|cff888888这件怪异的面具属于阿曼达巨魔首领祖尔金。|r</v>
      </c>
      <c r="W33" t="str">
        <f t="shared" si="3"/>
        <v xml:space="preserve">call SaveInteger(udg_DT,'ITC4',0,$00030006)_x000D_
call SaveInteger(udg_DT,'ITC4',1,$00000190)_x000D_
call SaveInteger(udg_DT,'ITC4',2,$00010190)_x000D_
call SaveInteger(udg_DT,'ITC4',3,$000A0006)_x000D_
call SaveInteger(udg_DT,'ITC4',4,$000D0003)_x000D_
</v>
      </c>
    </row>
    <row r="34" spans="1:23">
      <c r="A34" t="s">
        <v>109</v>
      </c>
      <c r="B34" t="s">
        <v>33</v>
      </c>
      <c r="C34" t="s">
        <v>41</v>
      </c>
      <c r="D34" t="s">
        <v>15</v>
      </c>
      <c r="E34">
        <v>225</v>
      </c>
      <c r="F34" t="s">
        <v>154</v>
      </c>
      <c r="G34" t="s">
        <v>273</v>
      </c>
      <c r="H34" t="s">
        <v>230</v>
      </c>
      <c r="I34" t="s">
        <v>288</v>
      </c>
      <c r="M34" t="s">
        <v>290</v>
      </c>
      <c r="N34" t="s">
        <v>283</v>
      </c>
      <c r="S34" t="s">
        <v>338</v>
      </c>
      <c r="T34" t="str">
        <f t="shared" si="0"/>
        <v>|cffff0088虔诚头冠|r</v>
      </c>
      <c r="U34" t="str">
        <f t="shared" si="1"/>
        <v>类型限制：头部（|cff0088ff智力|r）|n等级品质：225（|cffff0088传说|r）</v>
      </c>
      <c r="V34" t="str">
        <f t="shared" si="2"/>
        <v>类型限制：头部（|cff0088ff智力|r）|n等级品质：225（|cffff0088传说|r）|n|n|cffffcc00属性：|r|n+7 护甲|n+300 生命值|n+500 魔法值|n|cff00ccff功能：|r|n+25% 魔法抗性|n+50 格挡值|n|n|cff888888血色十字军高阶主教的头冠。|r</v>
      </c>
      <c r="W34" t="str">
        <f t="shared" si="3"/>
        <v xml:space="preserve">call SaveInteger(udg_DT,'ITC5',0,$00030007)_x000D_
call SaveInteger(udg_DT,'ITC5',1,$0000012C)_x000D_
call SaveInteger(udg_DT,'ITC5',2,$000101F4)_x000D_
call SaveInteger(udg_DT,'ITC5',3,$000A0005)_x000D_
call SaveInteger(udg_DT,'ITC5',4,$000E0002)_x000D_
</v>
      </c>
    </row>
    <row r="35" spans="1:23">
      <c r="A35" t="s">
        <v>110</v>
      </c>
      <c r="B35" t="s">
        <v>38</v>
      </c>
      <c r="C35" t="s">
        <v>41</v>
      </c>
      <c r="D35" t="s">
        <v>16</v>
      </c>
      <c r="E35">
        <v>225</v>
      </c>
      <c r="F35" t="s">
        <v>154</v>
      </c>
      <c r="G35" t="s">
        <v>274</v>
      </c>
      <c r="H35" t="s">
        <v>170</v>
      </c>
      <c r="I35" t="s">
        <v>231</v>
      </c>
      <c r="M35" t="s">
        <v>292</v>
      </c>
      <c r="N35" t="s">
        <v>280</v>
      </c>
      <c r="S35" t="s">
        <v>339</v>
      </c>
      <c r="T35" t="str">
        <f t="shared" si="0"/>
        <v>|cffff0088好战者面具|r</v>
      </c>
      <c r="U35" t="str">
        <f t="shared" si="1"/>
        <v>类型限制：头部（|cff00ff00敏捷|r）|n等级品质：225（|cffff0088传说|r）</v>
      </c>
      <c r="V35" t="str">
        <f t="shared" si="2"/>
        <v>类型限制：头部（|cff00ff00敏捷|r）|n等级品质：225（|cffff0088传说|r）|n|n|cffffcc00属性：|r|n+9 护甲|n+400 生命值|n+200 魔法值|n|cff00ccff功能：|r|n+15% 魔法抗性|n+15% 闪避率|n|n|cff888888古代角斗士们佩戴的面具，历经百战而被传承了下来。|r</v>
      </c>
      <c r="W35" t="str">
        <f t="shared" si="3"/>
        <v xml:space="preserve">call SaveInteger(udg_DT,'ITC6',0,$00030009)_x000D_
call SaveInteger(udg_DT,'ITC6',1,$00000190)_x000D_
call SaveInteger(udg_DT,'ITC6',2,$000100C8)_x000D_
call SaveInteger(udg_DT,'ITC6',3,$000A0003)_x000D_
call SaveInteger(udg_DT,'ITC6',4,$000C0003)_x000D_
</v>
      </c>
    </row>
    <row r="36" spans="1:23">
      <c r="A36" t="s">
        <v>111</v>
      </c>
      <c r="B36" t="s">
        <v>36</v>
      </c>
      <c r="C36" t="s">
        <v>41</v>
      </c>
      <c r="D36" t="s">
        <v>16</v>
      </c>
      <c r="E36">
        <v>225</v>
      </c>
      <c r="F36" t="s">
        <v>154</v>
      </c>
      <c r="G36" t="s">
        <v>293</v>
      </c>
      <c r="H36" t="s">
        <v>232</v>
      </c>
      <c r="I36" t="s">
        <v>177</v>
      </c>
      <c r="M36" t="s">
        <v>277</v>
      </c>
      <c r="N36" t="s">
        <v>389</v>
      </c>
      <c r="S36" t="s">
        <v>390</v>
      </c>
      <c r="T36" t="str">
        <f t="shared" si="0"/>
        <v>|cffff0088潜行者兜帽|r</v>
      </c>
      <c r="U36" t="str">
        <f t="shared" si="1"/>
        <v>类型限制：头部（|cff00ff00敏捷|r）|n等级品质：225（|cffff0088传说|r）</v>
      </c>
      <c r="V36" t="str">
        <f t="shared" si="2"/>
        <v>类型限制：头部（|cff00ff00敏捷|r）|n等级品质：225（|cffff0088传说|r）|n|n|cffffcc00属性：|r|n+10 护甲|n+500 生命值|n+300 魔法值|n|cff00ccff功能：|r|n+20% 魔法抗性|n+75 格挡值|n|n|cff888888为了在战斗中获得优势，刺客宗师们给这件斗篷赋予了强大的魔力。|r</v>
      </c>
      <c r="W36" t="str">
        <f t="shared" si="3"/>
        <v xml:space="preserve">call SaveInteger(udg_DT,'ITC7',0,$0003000A)_x000D_
call SaveInteger(udg_DT,'ITC7',1,$000001F4)_x000D_
call SaveInteger(udg_DT,'ITC7',2,$0001012C)_x000D_
call SaveInteger(udg_DT,'ITC7',3,$000A0004)_x000D_
call SaveInteger(udg_DT,'ITC7',4,$000E0003)_x000D_
</v>
      </c>
    </row>
    <row r="37" spans="1:23">
      <c r="A37" t="s">
        <v>112</v>
      </c>
      <c r="B37" t="s">
        <v>37</v>
      </c>
      <c r="C37" t="s">
        <v>41</v>
      </c>
      <c r="D37" t="s">
        <v>16</v>
      </c>
      <c r="E37">
        <v>225</v>
      </c>
      <c r="F37" t="s">
        <v>154</v>
      </c>
      <c r="G37" t="s">
        <v>270</v>
      </c>
      <c r="H37" t="s">
        <v>232</v>
      </c>
      <c r="I37" t="s">
        <v>288</v>
      </c>
      <c r="M37" t="s">
        <v>290</v>
      </c>
      <c r="N37" t="s">
        <v>281</v>
      </c>
      <c r="S37" t="s">
        <v>340</v>
      </c>
      <c r="T37" t="str">
        <f t="shared" si="0"/>
        <v>|cffff0088幽魂头冠|r</v>
      </c>
      <c r="U37" t="str">
        <f t="shared" si="1"/>
        <v>类型限制：头部（|cff00ff00敏捷|r）|n等级品质：225（|cffff0088传说|r）</v>
      </c>
      <c r="V37" t="str">
        <f t="shared" si="2"/>
        <v>类型限制：头部（|cff00ff00敏捷|r）|n等级品质：225（|cffff0088传说|r）|n|n|cffffcc00属性：|r|n+8 护甲|n+500 生命值|n+500 魔法值|n|cff00ccff功能：|r|n+25% 魔法抗性|n+20% 穿刺抗性|n|n|cff888888这件来自深海的头冠上面寄宿了深渊幽魂的力量。|r</v>
      </c>
      <c r="W37" t="str">
        <f t="shared" si="3"/>
        <v xml:space="preserve">call SaveInteger(udg_DT,'ITC8',0,$00030008)_x000D_
call SaveInteger(udg_DT,'ITC8',1,$000001F4)_x000D_
call SaveInteger(udg_DT,'ITC8',2,$000101F4)_x000D_
call SaveInteger(udg_DT,'ITC8',3,$000A0005)_x000D_
call SaveInteger(udg_DT,'ITC8',4,$000B0004)_x000D_
</v>
      </c>
    </row>
    <row r="38" spans="1:23">
      <c r="A38" t="s">
        <v>113</v>
      </c>
      <c r="B38" t="s">
        <v>52</v>
      </c>
      <c r="C38" t="s">
        <v>41</v>
      </c>
      <c r="D38" t="s">
        <v>27</v>
      </c>
      <c r="E38">
        <v>225</v>
      </c>
      <c r="F38" t="s">
        <v>154</v>
      </c>
      <c r="G38" t="s">
        <v>273</v>
      </c>
      <c r="H38" t="s">
        <v>232</v>
      </c>
      <c r="I38" t="s">
        <v>231</v>
      </c>
      <c r="M38" t="s">
        <v>278</v>
      </c>
      <c r="N38" t="s">
        <v>234</v>
      </c>
      <c r="S38" t="s">
        <v>386</v>
      </c>
      <c r="T38" t="str">
        <f t="shared" si="0"/>
        <v>|cffff0088力量之冠|r</v>
      </c>
      <c r="U38" t="str">
        <f t="shared" si="1"/>
        <v>类型限制：头部（|cffcccccc通用|r）|n等级品质：225（|cffff0088传说|r）</v>
      </c>
      <c r="V38" t="str">
        <f t="shared" si="2"/>
        <v>类型限制：头部（|cffcccccc通用|r）|n等级品质：225（|cffff0088传说|r）|n|n|cffffcc00属性：|r|n+7 护甲|n+500 生命值|n+200 魔法值|n|cff00ccff功能：|r|n+10% 魔法抗性|n+10 生命回复|n|n|cff888888食人鬼皇帝的头冠，虽然外形简陋了点，但是确实是个宝贝。|r</v>
      </c>
      <c r="W38" t="str">
        <f t="shared" si="3"/>
        <v xml:space="preserve">call SaveInteger(udg_DT,'ITC9',0,$00030007)_x000D_
call SaveInteger(udg_DT,'ITC9',1,$000001F4)_x000D_
call SaveInteger(udg_DT,'ITC9',2,$000100C8)_x000D_
call SaveInteger(udg_DT,'ITC9',3,$000A0002)_x000D_
call SaveInteger(udg_DT,'ITC9',4,$00F0000A)_x000D_
</v>
      </c>
    </row>
    <row r="39" spans="1:23">
      <c r="A39" t="s">
        <v>114</v>
      </c>
      <c r="B39" t="s">
        <v>40</v>
      </c>
      <c r="C39" t="s">
        <v>41</v>
      </c>
      <c r="D39" t="s">
        <v>27</v>
      </c>
      <c r="E39">
        <v>225</v>
      </c>
      <c r="F39" t="s">
        <v>154</v>
      </c>
      <c r="G39" t="s">
        <v>295</v>
      </c>
      <c r="H39" t="s">
        <v>230</v>
      </c>
      <c r="I39" t="s">
        <v>177</v>
      </c>
      <c r="M39" t="s">
        <v>292</v>
      </c>
      <c r="N39" t="s">
        <v>279</v>
      </c>
      <c r="S39" t="s">
        <v>341</v>
      </c>
      <c r="T39" t="str">
        <f t="shared" si="0"/>
        <v>|cffff0088贵族圆环|r</v>
      </c>
      <c r="U39" t="str">
        <f t="shared" si="1"/>
        <v>类型限制：头部（|cffcccccc通用|r）|n等级品质：225（|cffff0088传说|r）</v>
      </c>
      <c r="V39" t="str">
        <f t="shared" si="2"/>
        <v>类型限制：头部（|cffcccccc通用|r）|n等级品质：225（|cffff0088传说|r）|n|n|cffffcc00属性：|r|n+5 护甲|n+300 生命值|n+300 魔法值|n|cff00ccff功能：|r|n+15% 魔法抗性|n+10% 闪避率|n|n|cff888888风靡于暴风城贵族的一种头戴饰物。|r</v>
      </c>
      <c r="W39" t="str">
        <f t="shared" si="3"/>
        <v xml:space="preserve">call SaveInteger(udg_DT,'ITCA',0,$00030005)_x000D_
call SaveInteger(udg_DT,'ITCA',1,$0000012C)_x000D_
call SaveInteger(udg_DT,'ITCA',2,$0001012C)_x000D_
call SaveInteger(udg_DT,'ITCA',3,$000A0003)_x000D_
call SaveInteger(udg_DT,'ITCA',4,$000C0002)_x000D_
</v>
      </c>
    </row>
    <row r="40" spans="1:23">
      <c r="A40" t="s">
        <v>115</v>
      </c>
      <c r="B40" t="s">
        <v>34</v>
      </c>
      <c r="C40" t="s">
        <v>41</v>
      </c>
      <c r="D40" t="s">
        <v>27</v>
      </c>
      <c r="E40">
        <v>225</v>
      </c>
      <c r="F40" t="s">
        <v>154</v>
      </c>
      <c r="G40" t="s">
        <v>287</v>
      </c>
      <c r="H40" t="s">
        <v>170</v>
      </c>
      <c r="I40" t="s">
        <v>288</v>
      </c>
      <c r="M40" t="s">
        <v>278</v>
      </c>
      <c r="N40" t="s">
        <v>269</v>
      </c>
      <c r="S40" t="s">
        <v>342</v>
      </c>
      <c r="T40" t="str">
        <f t="shared" si="0"/>
        <v>|cffff0088艺人面罩|r</v>
      </c>
      <c r="U40" t="str">
        <f t="shared" si="1"/>
        <v>类型限制：头部（|cffcccccc通用|r）|n等级品质：225（|cffff0088传说|r）</v>
      </c>
      <c r="V40" t="str">
        <f t="shared" si="2"/>
        <v>类型限制：头部（|cffcccccc通用|r）|n等级品质：225（|cffff0088传说|r）|n|n|cffffcc00属性：|r|n+6 护甲|n+400 生命值|n+500 魔法值|n|cff00ccff功能：|r|n+10% 魔法抗性|n+8 魔法回复|n|n|cff888888法师和术士们用来举办各种仪式的常用面罩。|r</v>
      </c>
      <c r="W40" t="str">
        <f t="shared" si="3"/>
        <v xml:space="preserve">call SaveInteger(udg_DT,'ITCB',0,$00030006)_x000D_
call SaveInteger(udg_DT,'ITCB',1,$00000190)_x000D_
call SaveInteger(udg_DT,'ITCB',2,$000101F4)_x000D_
call SaveInteger(udg_DT,'ITCB',3,$000A0002)_x000D_
call SaveInteger(udg_DT,'ITCB',4,$00F10008)_x000D_
</v>
      </c>
    </row>
    <row r="41" spans="1:23">
      <c r="T41" t="str">
        <f t="shared" si="0"/>
        <v/>
      </c>
      <c r="U41" t="str">
        <f t="shared" si="1"/>
        <v>类型限制：（）|n等级品质：（）</v>
      </c>
      <c r="V41" t="str">
        <f t="shared" si="2"/>
        <v>类型限制：（）|n等级品质：（）</v>
      </c>
      <c r="W41" t="str">
        <f t="shared" si="3"/>
        <v/>
      </c>
    </row>
    <row r="42" spans="1:23">
      <c r="A42" t="s">
        <v>116</v>
      </c>
      <c r="B42" t="s">
        <v>42</v>
      </c>
      <c r="C42" t="s">
        <v>49</v>
      </c>
      <c r="D42" t="s">
        <v>14</v>
      </c>
      <c r="E42">
        <v>210</v>
      </c>
      <c r="F42" t="s">
        <v>71</v>
      </c>
      <c r="G42" t="s">
        <v>271</v>
      </c>
      <c r="H42" t="s">
        <v>294</v>
      </c>
      <c r="I42" t="s">
        <v>231</v>
      </c>
      <c r="M42" t="s">
        <v>306</v>
      </c>
      <c r="S42" t="s">
        <v>343</v>
      </c>
      <c r="T42" t="str">
        <f t="shared" si="0"/>
        <v>|cff8800ff征服者铠甲|r</v>
      </c>
      <c r="U42" t="str">
        <f t="shared" si="1"/>
        <v>类型限制：身体（|cffff0000力量|r）|n等级品质：210（|cff8800ff史诗|r）</v>
      </c>
      <c r="V42" t="str">
        <f t="shared" si="2"/>
        <v>类型限制：身体（|cffff0000力量|r）|n等级品质：210（|cff8800ff史诗|r）|n|n|cffffcc00属性：|r|n+18 护甲|n+900 生命值|n+200 魔法值|n|cff00ccff功能：|r|n+40 生命补充|n|n|cff888888在安其拉神殿中经历了万年的淬炼，这件铠甲坚不可摧。|r</v>
      </c>
      <c r="W42" t="str">
        <f t="shared" si="3"/>
        <v xml:space="preserve">call SaveInteger(udg_DT,'ITD0',0,$00030012)_x000D_
call SaveInteger(udg_DT,'ITD0',1,$00000384)_x000D_
call SaveInteger(udg_DT,'ITD0',2,$000100C8)_x000D_
call SaveInteger(udg_DT,'ITD0',3,$00F20028)_x000D_
</v>
      </c>
    </row>
    <row r="43" spans="1:23">
      <c r="A43" t="s">
        <v>117</v>
      </c>
      <c r="B43" t="s">
        <v>46</v>
      </c>
      <c r="C43" t="s">
        <v>49</v>
      </c>
      <c r="D43" t="s">
        <v>14</v>
      </c>
      <c r="E43">
        <v>210</v>
      </c>
      <c r="F43" t="s">
        <v>71</v>
      </c>
      <c r="G43" t="s">
        <v>297</v>
      </c>
      <c r="H43" t="s">
        <v>302</v>
      </c>
      <c r="I43" t="s">
        <v>177</v>
      </c>
      <c r="M43" t="s">
        <v>266</v>
      </c>
      <c r="N43" t="s">
        <v>267</v>
      </c>
      <c r="S43" t="s">
        <v>349</v>
      </c>
      <c r="T43" t="str">
        <f t="shared" si="0"/>
        <v>|cff8800ff黑暗符文板甲|r</v>
      </c>
      <c r="U43" t="str">
        <f t="shared" si="1"/>
        <v>类型限制：身体（|cffff0000力量|r）|n等级品质：210（|cff8800ff史诗|r）</v>
      </c>
      <c r="V43" t="str">
        <f t="shared" si="2"/>
        <v>类型限制：身体（|cffff0000力量|r）|n等级品质：210（|cff8800ff史诗|r）|n|n|cffffcc00属性：|r|n+16 护甲|n+800 生命值|n+300 魔法值|n|cff00ccff功能：|r|n+20 生命补充|n+20 魔法补充|n|n|cff888888死亡骑士瑞文戴尔男爵所佩戴的黑暗胸甲。|r</v>
      </c>
      <c r="W43" t="str">
        <f t="shared" si="3"/>
        <v xml:space="preserve">call SaveInteger(udg_DT,'ITD1',0,$00030010)_x000D_
call SaveInteger(udg_DT,'ITD1',1,$00000320)_x000D_
call SaveInteger(udg_DT,'ITD1',2,$0001012C)_x000D_
call SaveInteger(udg_DT,'ITD1',3,$00F20014)_x000D_
call SaveInteger(udg_DT,'ITD1',4,$00F30014)_x000D_
</v>
      </c>
    </row>
    <row r="44" spans="1:23">
      <c r="A44" t="s">
        <v>118</v>
      </c>
      <c r="B44" t="s">
        <v>43</v>
      </c>
      <c r="C44" t="s">
        <v>49</v>
      </c>
      <c r="D44" t="s">
        <v>14</v>
      </c>
      <c r="E44">
        <v>210</v>
      </c>
      <c r="F44" t="s">
        <v>71</v>
      </c>
      <c r="G44" t="s">
        <v>286</v>
      </c>
      <c r="H44" t="s">
        <v>391</v>
      </c>
      <c r="I44" t="s">
        <v>173</v>
      </c>
      <c r="M44" t="s">
        <v>268</v>
      </c>
      <c r="N44" t="s">
        <v>304</v>
      </c>
      <c r="S44" t="s">
        <v>344</v>
      </c>
      <c r="T44" t="str">
        <f t="shared" si="0"/>
        <v>|cff8800ff地穴领主的甲壳|r</v>
      </c>
      <c r="U44" t="str">
        <f t="shared" si="1"/>
        <v>类型限制：身体（|cffff0000力量|r）|n等级品质：210（|cff8800ff史诗|r）</v>
      </c>
      <c r="V44" t="str">
        <f t="shared" si="2"/>
        <v>类型限制：身体（|cffff0000力量|r）|n等级品质：210（|cff8800ff史诗|r）|n|n|cffffcc00属性：|r|n+20 护甲|n+700 生命值|n+400 魔法值|n|cff00ccff功能：|r|n+30 生命补充|n+10 魔法补充|n|n|cff888888由地穴领主——阿努布雷坎的甲壳打造而成，其硬度天下无双。|r</v>
      </c>
      <c r="W44" t="str">
        <f t="shared" si="3"/>
        <v xml:space="preserve">call SaveInteger(udg_DT,'ITD2',0,$00030014)_x000D_
call SaveInteger(udg_DT,'ITD2',1,$000002BC)_x000D_
call SaveInteger(udg_DT,'ITD2',2,$00010190)_x000D_
call SaveInteger(udg_DT,'ITD2',3,$00F2001E)_x000D_
call SaveInteger(udg_DT,'ITD2',4,$00F3000A)_x000D_
</v>
      </c>
    </row>
    <row r="45" spans="1:23">
      <c r="A45" t="s">
        <v>119</v>
      </c>
      <c r="B45" t="s">
        <v>44</v>
      </c>
      <c r="C45" t="s">
        <v>49</v>
      </c>
      <c r="D45" t="s">
        <v>15</v>
      </c>
      <c r="E45">
        <v>210</v>
      </c>
      <c r="F45" t="s">
        <v>71</v>
      </c>
      <c r="G45" t="s">
        <v>293</v>
      </c>
      <c r="H45" t="s">
        <v>294</v>
      </c>
      <c r="I45" t="s">
        <v>298</v>
      </c>
      <c r="M45" t="s">
        <v>305</v>
      </c>
      <c r="N45" t="s">
        <v>308</v>
      </c>
      <c r="S45" t="s">
        <v>345</v>
      </c>
      <c r="T45" t="str">
        <f t="shared" si="0"/>
        <v>|cff8800ff大地长袍|r</v>
      </c>
      <c r="U45" t="str">
        <f t="shared" si="1"/>
        <v>类型限制：身体（|cff0088ff智力|r）|n等级品质：210（|cff8800ff史诗|r）</v>
      </c>
      <c r="V45" t="str">
        <f t="shared" si="2"/>
        <v>类型限制：身体（|cff0088ff智力|r）|n等级品质：210（|cff8800ff史诗|r）|n|n|cffffcc00属性：|r|n+10 护甲|n+900 生命值|n+600 魔法值|n|cff00ccff功能：|r|n+15 生命补充|n+25 魔法补充|n|n|cff888888萨满大祭司曾经穿过的法袍，其中蕴含了无限的生命力。|r</v>
      </c>
      <c r="W45" t="str">
        <f t="shared" si="3"/>
        <v xml:space="preserve">call SaveInteger(udg_DT,'ITD3',0,$0003000A)_x000D_
call SaveInteger(udg_DT,'ITD3',1,$00000384)_x000D_
call SaveInteger(udg_DT,'ITD3',2,$00010258)_x000D_
call SaveInteger(udg_DT,'ITD3',3,$00F2000F)_x000D_
call SaveInteger(udg_DT,'ITD3',4,$00F30019)_x000D_
</v>
      </c>
    </row>
    <row r="46" spans="1:23">
      <c r="A46" t="s">
        <v>120</v>
      </c>
      <c r="B46" t="s">
        <v>45</v>
      </c>
      <c r="C46" t="s">
        <v>49</v>
      </c>
      <c r="D46" t="s">
        <v>15</v>
      </c>
      <c r="E46">
        <v>210</v>
      </c>
      <c r="F46" t="s">
        <v>71</v>
      </c>
      <c r="G46" t="s">
        <v>276</v>
      </c>
      <c r="H46" t="s">
        <v>302</v>
      </c>
      <c r="I46" t="s">
        <v>299</v>
      </c>
      <c r="M46" t="s">
        <v>309</v>
      </c>
      <c r="S46" t="s">
        <v>346</v>
      </c>
      <c r="T46" t="str">
        <f t="shared" si="0"/>
        <v>|cff8800ff博学者长袍|r</v>
      </c>
      <c r="U46" t="str">
        <f t="shared" si="1"/>
        <v>类型限制：身体（|cff0088ff智力|r）|n等级品质：210（|cff8800ff史诗|r）</v>
      </c>
      <c r="V46" t="str">
        <f t="shared" si="2"/>
        <v>类型限制：身体（|cff0088ff智力|r）|n等级品质：210（|cff8800ff史诗|r）|n|n|cffffcc00属性：|r|n+11 护甲|n+800 生命值|n+800 魔法值|n|cff00ccff功能：|r|n+40 魔法补充|n|n|cff888888肯瑞托议会高阶法师们所佩戴的长袍，被赋予了强大的奥术能量。|r</v>
      </c>
      <c r="W46" t="str">
        <f t="shared" si="3"/>
        <v xml:space="preserve">call SaveInteger(udg_DT,'ITD4',0,$0003000B)_x000D_
call SaveInteger(udg_DT,'ITD4',1,$00000320)_x000D_
call SaveInteger(udg_DT,'ITD4',2,$00010320)_x000D_
call SaveInteger(udg_DT,'ITD4',3,$00F30028)_x000D_
</v>
      </c>
    </row>
    <row r="47" spans="1:23">
      <c r="A47" t="s">
        <v>121</v>
      </c>
      <c r="B47" t="s">
        <v>47</v>
      </c>
      <c r="C47" t="s">
        <v>49</v>
      </c>
      <c r="D47" t="s">
        <v>15</v>
      </c>
      <c r="E47">
        <v>210</v>
      </c>
      <c r="F47" t="s">
        <v>71</v>
      </c>
      <c r="G47" t="s">
        <v>449</v>
      </c>
      <c r="H47" t="s">
        <v>391</v>
      </c>
      <c r="I47" t="s">
        <v>300</v>
      </c>
      <c r="M47" t="s">
        <v>307</v>
      </c>
      <c r="N47" t="s">
        <v>267</v>
      </c>
      <c r="S47" t="s">
        <v>347</v>
      </c>
      <c r="T47" t="str">
        <f t="shared" si="0"/>
        <v>|cff8800ff月神法袍|r</v>
      </c>
      <c r="U47" t="str">
        <f t="shared" si="1"/>
        <v>类型限制：身体（|cff0088ff智力|r）|n等级品质：210（|cff8800ff史诗|r）</v>
      </c>
      <c r="V47" t="str">
        <f t="shared" si="2"/>
        <v>类型限制：身体（|cff0088ff智力|r）|n等级品质：210（|cff8800ff史诗|r）|n|n|cffffcc00属性：|r|n+12 护甲|n+700 生命值|n+1000 魔法值|n|cff00ccff功能：|r|n+25 生命补充|n+20 魔法补充|n|n|cff888888这件收到月神祝福的法袍曾经属于范达尔鹿盔。|r</v>
      </c>
      <c r="W47" t="str">
        <f t="shared" si="3"/>
        <v xml:space="preserve">call SaveInteger(udg_DT,'ITD5',0,$0003000C)_x000D_
call SaveInteger(udg_DT,'ITD5',1,$000002BC)_x000D_
call SaveInteger(udg_DT,'ITD5',2,$000103E8)_x000D_
call SaveInteger(udg_DT,'ITD5',3,$00F20019)_x000D_
call SaveInteger(udg_DT,'ITD5',4,$00F30014)_x000D_
</v>
      </c>
    </row>
    <row r="48" spans="1:23">
      <c r="A48" t="s">
        <v>122</v>
      </c>
      <c r="B48" t="s">
        <v>51</v>
      </c>
      <c r="C48" t="s">
        <v>49</v>
      </c>
      <c r="D48" t="s">
        <v>16</v>
      </c>
      <c r="E48">
        <v>210</v>
      </c>
      <c r="F48" t="s">
        <v>71</v>
      </c>
      <c r="G48" t="s">
        <v>301</v>
      </c>
      <c r="H48" t="s">
        <v>391</v>
      </c>
      <c r="I48" t="s">
        <v>298</v>
      </c>
      <c r="M48" t="s">
        <v>303</v>
      </c>
      <c r="N48" t="s">
        <v>265</v>
      </c>
      <c r="S48" t="s">
        <v>348</v>
      </c>
      <c r="T48" t="str">
        <f t="shared" si="0"/>
        <v>|cff8800ff龙皮胸甲|r</v>
      </c>
      <c r="U48" t="str">
        <f t="shared" si="1"/>
        <v>类型限制：身体（|cff00ff00敏捷|r）|n等级品质：210（|cff8800ff史诗|r）</v>
      </c>
      <c r="V48" t="str">
        <f t="shared" si="2"/>
        <v>类型限制：身体（|cff00ff00敏捷|r）|n等级品质：210（|cff8800ff史诗|r）|n|n|cffffcc00属性：|r|n+14 护甲|n+700 生命值|n+600 魔法值|n|cff00ccff功能：|r|n+10 生命补充|n+30 魔法补充|n|n|cff888888这件传奇铠甲由龙鳞和秘银铸造而成，坚韧无比。|r</v>
      </c>
      <c r="W48" t="str">
        <f t="shared" si="3"/>
        <v xml:space="preserve">call SaveInteger(udg_DT,'ITD6',0,$0003000E)_x000D_
call SaveInteger(udg_DT,'ITD6',1,$000002BC)_x000D_
call SaveInteger(udg_DT,'ITD6',2,$00010258)_x000D_
call SaveInteger(udg_DT,'ITD6',3,$00F2000A)_x000D_
call SaveInteger(udg_DT,'ITD6',4,$00F3001E)_x000D_
</v>
      </c>
    </row>
    <row r="49" spans="1:23">
      <c r="A49" t="s">
        <v>123</v>
      </c>
      <c r="B49" t="s">
        <v>50</v>
      </c>
      <c r="C49" t="s">
        <v>49</v>
      </c>
      <c r="D49" t="s">
        <v>16</v>
      </c>
      <c r="E49">
        <v>210</v>
      </c>
      <c r="F49" t="s">
        <v>71</v>
      </c>
      <c r="G49" t="s">
        <v>275</v>
      </c>
      <c r="H49" t="s">
        <v>294</v>
      </c>
      <c r="I49" t="s">
        <v>392</v>
      </c>
      <c r="M49" t="s">
        <v>268</v>
      </c>
      <c r="N49" t="s">
        <v>304</v>
      </c>
      <c r="S49" t="s">
        <v>388</v>
      </c>
      <c r="T49" t="str">
        <f t="shared" si="0"/>
        <v>|cff8800ff执行者外套|r</v>
      </c>
      <c r="U49" t="str">
        <f t="shared" si="1"/>
        <v>类型限制：身体（|cff00ff00敏捷|r）|n等级品质：210（|cff8800ff史诗|r）</v>
      </c>
      <c r="V49" t="str">
        <f t="shared" si="2"/>
        <v>类型限制：身体（|cff00ff00敏捷|r）|n等级品质：210（|cff8800ff史诗|r）|n|n|cffffcc00属性：|r|n+12 护甲|n+900 生命值|n+300 魔法值|n|cff00ccff功能：|r|n+30 生命补充|n+10 魔法补充|n|n|cff888888幽暗城神秘的刺客组织所提供的制式装备。|r</v>
      </c>
      <c r="W49" t="str">
        <f t="shared" si="3"/>
        <v xml:space="preserve">call SaveInteger(udg_DT,'ITD7',0,$0003000C)_x000D_
call SaveInteger(udg_DT,'ITD7',1,$00000384)_x000D_
call SaveInteger(udg_DT,'ITD7',2,$0001012C)_x000D_
call SaveInteger(udg_DT,'ITD7',3,$00F2001E)_x000D_
call SaveInteger(udg_DT,'ITD7',4,$00F3000A)_x000D_
</v>
      </c>
    </row>
    <row r="50" spans="1:23">
      <c r="A50" t="s">
        <v>124</v>
      </c>
      <c r="B50" t="s">
        <v>48</v>
      </c>
      <c r="C50" t="s">
        <v>49</v>
      </c>
      <c r="D50" t="s">
        <v>16</v>
      </c>
      <c r="E50">
        <v>210</v>
      </c>
      <c r="F50" t="s">
        <v>71</v>
      </c>
      <c r="G50" t="s">
        <v>450</v>
      </c>
      <c r="H50" t="s">
        <v>302</v>
      </c>
      <c r="I50" t="s">
        <v>173</v>
      </c>
      <c r="M50" t="s">
        <v>307</v>
      </c>
      <c r="N50" t="s">
        <v>267</v>
      </c>
      <c r="S50" t="s">
        <v>387</v>
      </c>
      <c r="T50" t="str">
        <f t="shared" si="0"/>
        <v>|cff8800ff高地人肩甲|r</v>
      </c>
      <c r="U50" t="str">
        <f t="shared" si="1"/>
        <v>类型限制：身体（|cff00ff00敏捷|r）|n等级品质：210（|cff8800ff史诗|r）</v>
      </c>
      <c r="V50" t="str">
        <f t="shared" si="2"/>
        <v>类型限制：身体（|cff00ff00敏捷|r）|n等级品质：210（|cff8800ff史诗|r）|n|n|cffffcc00属性：|r|n+13 护甲|n+800 生命值|n+400 魔法值|n|cff00ccff功能：|r|n+25 生命补充|n+20 魔法补充|n|n|cff888888这件完美的护甲来自古代的阿拉索帝国。|r</v>
      </c>
      <c r="W50" t="str">
        <f t="shared" si="3"/>
        <v xml:space="preserve">call SaveInteger(udg_DT,'ITD8',0,$0003000D)_x000D_
call SaveInteger(udg_DT,'ITD8',1,$00000320)_x000D_
call SaveInteger(udg_DT,'ITD8',2,$00010190)_x000D_
call SaveInteger(udg_DT,'ITD8',3,$00F20019)_x000D_
call SaveInteger(udg_DT,'ITD8',4,$00F30014)_x000D_
</v>
      </c>
    </row>
    <row r="51" spans="1:23">
      <c r="T51" t="str">
        <f t="shared" si="0"/>
        <v/>
      </c>
      <c r="U51" t="str">
        <f t="shared" si="1"/>
        <v>类型限制：（）|n等级品质：（）</v>
      </c>
      <c r="V51" t="str">
        <f t="shared" si="2"/>
        <v>类型限制：（）|n等级品质：（）</v>
      </c>
      <c r="W51" t="str">
        <f t="shared" si="3"/>
        <v/>
      </c>
    </row>
    <row r="52" spans="1:23">
      <c r="A52" t="s">
        <v>125</v>
      </c>
      <c r="B52" t="s">
        <v>56</v>
      </c>
      <c r="C52" t="s">
        <v>59</v>
      </c>
      <c r="D52" t="s">
        <v>14</v>
      </c>
      <c r="E52">
        <v>195</v>
      </c>
      <c r="F52" t="s">
        <v>155</v>
      </c>
      <c r="G52" t="s">
        <v>316</v>
      </c>
      <c r="H52" t="s">
        <v>319</v>
      </c>
      <c r="M52" t="s">
        <v>312</v>
      </c>
      <c r="N52" t="s">
        <v>321</v>
      </c>
      <c r="S52" t="s">
        <v>350</v>
      </c>
      <c r="T52" t="str">
        <f t="shared" si="0"/>
        <v>|cff0088ff死亡之握|r</v>
      </c>
      <c r="U52" t="str">
        <f t="shared" si="1"/>
        <v>类型限制：手（|cffff0000力量|r）|n等级品质：195（|cff0088ff卓越|r）</v>
      </c>
      <c r="V52" t="str">
        <f t="shared" si="2"/>
        <v>类型限制：手（|cffff0000力量|r）|n等级品质：195（|cff0088ff卓越|r）|n|n|cffffcc00属性：|r|n+10 全能|n+15 力量|n|cff00ccff功能：|r|n+20 攻击速度|n+6 生命回复|n|n|cff888888阿尔萨斯王子在血洗斯坦索姆城时遗落的手套。|r</v>
      </c>
      <c r="W52" t="str">
        <f t="shared" si="3"/>
        <v xml:space="preserve">call SaveInteger(udg_DT,'ITE0',0,$0005000A)_x000D_
call SaveInteger(udg_DT,'ITE0',1,$0006000F)_x000D_
call SaveInteger(udg_DT,'ITE0',2,$00040004)_x000D_
call SaveInteger(udg_DT,'ITE0',3,$00F00006)_x000D_
</v>
      </c>
    </row>
    <row r="53" spans="1:23">
      <c r="A53" t="s">
        <v>126</v>
      </c>
      <c r="B53" t="s">
        <v>351</v>
      </c>
      <c r="C53" t="s">
        <v>59</v>
      </c>
      <c r="D53" t="s">
        <v>15</v>
      </c>
      <c r="E53">
        <v>195</v>
      </c>
      <c r="F53" t="s">
        <v>155</v>
      </c>
      <c r="G53" t="s">
        <v>316</v>
      </c>
      <c r="H53" t="s">
        <v>174</v>
      </c>
      <c r="M53" t="s">
        <v>413</v>
      </c>
      <c r="N53" t="s">
        <v>320</v>
      </c>
      <c r="O53" t="s">
        <v>412</v>
      </c>
      <c r="S53" t="s">
        <v>352</v>
      </c>
      <c r="T53" t="str">
        <f t="shared" si="0"/>
        <v>|cff0088ff预言手套|r</v>
      </c>
      <c r="U53" t="str">
        <f t="shared" si="1"/>
        <v>类型限制：手（|cff0088ff智力|r）|n等级品质：195（|cff0088ff卓越|r）</v>
      </c>
      <c r="V53" t="str">
        <f t="shared" si="2"/>
        <v>类型限制：手（|cff0088ff智力|r）|n等级品质：195（|cff0088ff卓越|r）|n|n|cffffcc00属性：|r|n+10 全能|n+20 智力|n|cff00ccff功能：|r|n+25 攻击速度|n+4 生命回复|n+4 魔法回复|n|n|cff888888光明使者乌瑟尔的手套，充满了魔法能量。|r</v>
      </c>
      <c r="W53" t="str">
        <f t="shared" si="3"/>
        <v xml:space="preserve">call SaveInteger(udg_DT,'ITE1',0,$0005000A)_x000D_
call SaveInteger(udg_DT,'ITE1',1,$00080014)_x000D_
call SaveInteger(udg_DT,'ITE1',2,$00040005)_x000D_
call SaveInteger(udg_DT,'ITE1',3,$00F00004)_x000D_
call SaveInteger(udg_DT,'ITE1',4,$00F10004)_x000D_
</v>
      </c>
    </row>
    <row r="54" spans="1:23">
      <c r="A54" t="s">
        <v>127</v>
      </c>
      <c r="B54" t="s">
        <v>58</v>
      </c>
      <c r="C54" t="s">
        <v>59</v>
      </c>
      <c r="D54" t="s">
        <v>16</v>
      </c>
      <c r="E54">
        <v>195</v>
      </c>
      <c r="F54" t="s">
        <v>155</v>
      </c>
      <c r="G54" t="s">
        <v>316</v>
      </c>
      <c r="H54" t="s">
        <v>235</v>
      </c>
      <c r="M54" t="s">
        <v>313</v>
      </c>
      <c r="N54" t="s">
        <v>320</v>
      </c>
      <c r="O54" t="s">
        <v>323</v>
      </c>
      <c r="S54" t="s">
        <v>353</v>
      </c>
      <c r="T54" t="str">
        <f t="shared" si="0"/>
        <v>|cff0088ff狂热护手|r</v>
      </c>
      <c r="U54" t="str">
        <f t="shared" si="1"/>
        <v>类型限制：手（|cff00ff00敏捷|r）|n等级品质：195（|cff0088ff卓越|r）</v>
      </c>
      <c r="V54" t="str">
        <f t="shared" si="2"/>
        <v>类型限制：手（|cff00ff00敏捷|r）|n等级品质：195（|cff0088ff卓越|r）|n|n|cffffcc00属性：|r|n+10 全能|n+20 敏捷|n|cff00ccff功能：|r|n+30 攻击速度|n+4 生命回复|n+2 魔法回复|n|n|cff888888萨穆罗年轻时佩戴的手套，据说能使武器变轻。|r</v>
      </c>
      <c r="W54" t="str">
        <f t="shared" si="3"/>
        <v xml:space="preserve">call SaveInteger(udg_DT,'ITE2',0,$0005000A)_x000D_
call SaveInteger(udg_DT,'ITE2',1,$00070014)_x000D_
call SaveInteger(udg_DT,'ITE2',2,$00040006)_x000D_
call SaveInteger(udg_DT,'ITE2',3,$00F00004)_x000D_
call SaveInteger(udg_DT,'ITE2',4,$00F10002)_x000D_
</v>
      </c>
    </row>
    <row r="55" spans="1:23">
      <c r="A55" t="s">
        <v>128</v>
      </c>
      <c r="B55" t="s">
        <v>57</v>
      </c>
      <c r="C55" t="s">
        <v>59</v>
      </c>
      <c r="D55" t="s">
        <v>27</v>
      </c>
      <c r="E55">
        <v>195</v>
      </c>
      <c r="F55" t="s">
        <v>155</v>
      </c>
      <c r="G55" t="s">
        <v>318</v>
      </c>
      <c r="M55" t="s">
        <v>410</v>
      </c>
      <c r="N55" t="s">
        <v>324</v>
      </c>
      <c r="O55" t="s">
        <v>323</v>
      </c>
      <c r="S55" t="s">
        <v>354</v>
      </c>
      <c r="T55" t="str">
        <f t="shared" si="0"/>
        <v>|cff0088ff符文护腕|r</v>
      </c>
      <c r="U55" t="str">
        <f t="shared" si="1"/>
        <v>类型限制：手（|cffcccccc通用|r）|n等级品质：195（|cff0088ff卓越|r）</v>
      </c>
      <c r="V55" t="str">
        <f t="shared" si="2"/>
        <v>类型限制：手（|cffcccccc通用|r）|n等级品质：195（|cff0088ff卓越|r）|n|n|cffffcc00属性：|r|n+20 全能|n|cff00ccff功能：|r|n+10 攻击速度|n+2 生命回复|n+2 魔法回复|n|n|cff888888这件覆盖了奥术符文的护腕由银月城的能工巧匠制造。|r</v>
      </c>
      <c r="W55" t="str">
        <f t="shared" si="3"/>
        <v xml:space="preserve">call SaveInteger(udg_DT,'ITE3',0,$00050014)_x000D_
call SaveInteger(udg_DT,'ITE3',1,$00040002)_x000D_
call SaveInteger(udg_DT,'ITE3',2,$00F00002)_x000D_
call SaveInteger(udg_DT,'ITE3',3,$00F10002)_x000D_
</v>
      </c>
    </row>
    <row r="56" spans="1:23">
      <c r="A56" t="s">
        <v>129</v>
      </c>
      <c r="B56" t="s">
        <v>55</v>
      </c>
      <c r="C56" t="s">
        <v>59</v>
      </c>
      <c r="D56" t="s">
        <v>27</v>
      </c>
      <c r="E56">
        <v>195</v>
      </c>
      <c r="F56" t="s">
        <v>155</v>
      </c>
      <c r="G56" t="s">
        <v>411</v>
      </c>
      <c r="H56" t="s">
        <v>264</v>
      </c>
      <c r="M56" t="s">
        <v>314</v>
      </c>
      <c r="N56" t="s">
        <v>321</v>
      </c>
      <c r="O56" t="s">
        <v>412</v>
      </c>
      <c r="S56" t="s">
        <v>355</v>
      </c>
      <c r="T56" t="str">
        <f t="shared" si="0"/>
        <v>|cff0088ff急速手套|r</v>
      </c>
      <c r="U56" t="str">
        <f t="shared" si="1"/>
        <v>类型限制：手（|cffcccccc通用|r）|n等级品质：195（|cff0088ff卓越|r）</v>
      </c>
      <c r="V56" t="str">
        <f t="shared" si="2"/>
        <v>类型限制：手（|cffcccccc通用|r）|n等级品质：195（|cff0088ff卓越|r）|n|n|cffffcc00属性：|r|n+35 敏捷|n+10 智力|n|cff00ccff功能：|r|n+40 攻击速度|n+6 生命回复|n+4 魔法回复|n|n|cff888888这件手套是如此的轻，以至于戴上它后双手都会飘起来。|r</v>
      </c>
      <c r="W56" t="str">
        <f t="shared" si="3"/>
        <v xml:space="preserve">call SaveInteger(udg_DT,'ITE4',0,$00070023)_x000D_
call SaveInteger(udg_DT,'ITE4',1,$0008000A)_x000D_
call SaveInteger(udg_DT,'ITE4',2,$00040008)_x000D_
call SaveInteger(udg_DT,'ITE4',3,$00F00006)_x000D_
call SaveInteger(udg_DT,'ITE4',4,$00F10004)_x000D_
</v>
      </c>
    </row>
    <row r="57" spans="1:23">
      <c r="A57" t="s">
        <v>130</v>
      </c>
      <c r="B57" t="s">
        <v>368</v>
      </c>
      <c r="C57" t="s">
        <v>59</v>
      </c>
      <c r="D57" t="s">
        <v>27</v>
      </c>
      <c r="E57">
        <v>195</v>
      </c>
      <c r="F57" t="s">
        <v>155</v>
      </c>
      <c r="G57" t="s">
        <v>393</v>
      </c>
      <c r="H57" t="s">
        <v>447</v>
      </c>
      <c r="M57" t="s">
        <v>311</v>
      </c>
      <c r="N57" t="s">
        <v>315</v>
      </c>
      <c r="S57" t="s">
        <v>356</v>
      </c>
      <c r="T57" t="str">
        <f t="shared" si="0"/>
        <v>|cff0088ff食人鬼拳套|r</v>
      </c>
      <c r="U57" t="str">
        <f t="shared" si="1"/>
        <v>类型限制：手（|cffcccccc通用|r）|n等级品质：195（|cff0088ff卓越|r）</v>
      </c>
      <c r="V57" t="str">
        <f t="shared" si="2"/>
        <v>类型限制：手（|cffcccccc通用|r）|n等级品质：195（|cff0088ff卓越|r）|n|n|cffffcc00属性：|r|n+30 力量|n+10 智力|n|cff00ccff功能：|r|n+15 攻击速度|n+8 生命回复|n|n|cff888888在食人鬼皇帝在某次和地精大财主的赌博中输掉了这件珍贵的手套。|r</v>
      </c>
      <c r="W57" t="str">
        <f t="shared" si="3"/>
        <v xml:space="preserve">call SaveInteger(udg_DT,'ITE5',0,$0006001E)_x000D_
call SaveInteger(udg_DT,'ITE5',1,$0008000A)_x000D_
call SaveInteger(udg_DT,'ITE5',2,$00040003)_x000D_
call SaveInteger(udg_DT,'ITE5',3,$00F00008)_x000D_
</v>
      </c>
    </row>
    <row r="58" spans="1:23">
      <c r="T58" t="str">
        <f t="shared" si="0"/>
        <v/>
      </c>
      <c r="U58" t="str">
        <f t="shared" si="1"/>
        <v>类型限制：（）|n等级品质：（）</v>
      </c>
      <c r="V58" t="str">
        <f t="shared" si="2"/>
        <v>类型限制：（）|n等级品质：（）</v>
      </c>
      <c r="W58" t="str">
        <f t="shared" si="3"/>
        <v/>
      </c>
    </row>
    <row r="59" spans="1:23">
      <c r="A59" t="s">
        <v>131</v>
      </c>
      <c r="B59" t="s">
        <v>60</v>
      </c>
      <c r="C59" t="s">
        <v>63</v>
      </c>
      <c r="D59" t="s">
        <v>27</v>
      </c>
      <c r="E59">
        <v>180</v>
      </c>
      <c r="F59" t="s">
        <v>156</v>
      </c>
      <c r="G59" t="s">
        <v>316</v>
      </c>
      <c r="H59" t="s">
        <v>317</v>
      </c>
      <c r="M59" t="s">
        <v>459</v>
      </c>
      <c r="N59" t="s">
        <v>321</v>
      </c>
      <c r="S59" t="s">
        <v>357</v>
      </c>
      <c r="T59" t="str">
        <f t="shared" si="0"/>
        <v>|cff00ff88动力鞋|r</v>
      </c>
      <c r="U59" t="str">
        <f t="shared" si="1"/>
        <v>类型限制：脚（|cffcccccc通用|r）|n等级品质：180（|cff00ff88精良|r）</v>
      </c>
      <c r="V59" t="str">
        <f t="shared" si="2"/>
        <v>类型限制：脚（|cffcccccc通用|r）|n等级品质：180（|cff00ff88精良|r）|n|n|cffffcc00属性：|r|n+10 全能|n+10 力量|n|cff00ccff功能：|r|n+60 移动速度|n+6 生命回复|n|n|cff888888在崔斯特瑞姆毁灭前，怀特的鞋店生意非常好。|r</v>
      </c>
      <c r="W59" t="str">
        <f t="shared" si="3"/>
        <v xml:space="preserve">call SaveInteger(udg_DT,'ITF0',0,$0005000A)_x000D_
call SaveInteger(udg_DT,'ITF0',1,$0006000A)_x000D_
call SaveInteger(udg_DT,'ITF0',2,$00090003)_x000D_
call SaveInteger(udg_DT,'ITF0',3,$00F00006)_x000D_
</v>
      </c>
    </row>
    <row r="60" spans="1:23">
      <c r="A60" t="s">
        <v>132</v>
      </c>
      <c r="B60" t="s">
        <v>369</v>
      </c>
      <c r="C60" t="s">
        <v>63</v>
      </c>
      <c r="D60" t="s">
        <v>27</v>
      </c>
      <c r="E60">
        <v>180</v>
      </c>
      <c r="F60" t="s">
        <v>156</v>
      </c>
      <c r="G60" t="s">
        <v>316</v>
      </c>
      <c r="H60" t="s">
        <v>264</v>
      </c>
      <c r="M60" t="s">
        <v>459</v>
      </c>
      <c r="N60" t="s">
        <v>320</v>
      </c>
      <c r="O60" t="s">
        <v>412</v>
      </c>
      <c r="S60" t="s">
        <v>358</v>
      </c>
      <c r="T60" t="str">
        <f t="shared" si="0"/>
        <v>|cff00ff88熊皮靴|r</v>
      </c>
      <c r="U60" t="str">
        <f t="shared" si="1"/>
        <v>类型限制：脚（|cffcccccc通用|r）|n等级品质：180（|cff00ff88精良|r）</v>
      </c>
      <c r="V60" t="str">
        <f t="shared" si="2"/>
        <v>类型限制：脚（|cffcccccc通用|r）|n等级品质：180（|cff00ff88精良|r）|n|n|cffffcc00属性：|r|n+10 全能|n+10 智力|n|cff00ccff功能：|r|n+60 移动速度|n+4 生命回复|n+4 魔法回复|n|n|cff888888血精灵工匠精心制造的皮靴，非常的舒适。|r</v>
      </c>
      <c r="W60" t="str">
        <f t="shared" si="3"/>
        <v xml:space="preserve">call SaveInteger(udg_DT,'ITF1',0,$0005000A)_x000D_
call SaveInteger(udg_DT,'ITF1',1,$0008000A)_x000D_
call SaveInteger(udg_DT,'ITF1',2,$00090003)_x000D_
call SaveInteger(udg_DT,'ITF1',3,$00F00004)_x000D_
call SaveInteger(udg_DT,'ITF1',4,$00F10004)_x000D_
</v>
      </c>
    </row>
    <row r="61" spans="1:23">
      <c r="A61" t="s">
        <v>133</v>
      </c>
      <c r="B61" t="s">
        <v>61</v>
      </c>
      <c r="C61" t="s">
        <v>63</v>
      </c>
      <c r="D61" t="s">
        <v>27</v>
      </c>
      <c r="E61">
        <v>180</v>
      </c>
      <c r="F61" t="s">
        <v>156</v>
      </c>
      <c r="G61" t="s">
        <v>316</v>
      </c>
      <c r="H61" t="s">
        <v>171</v>
      </c>
      <c r="M61" t="s">
        <v>459</v>
      </c>
      <c r="N61" t="s">
        <v>320</v>
      </c>
      <c r="O61" t="s">
        <v>323</v>
      </c>
      <c r="S61" t="s">
        <v>359</v>
      </c>
      <c r="T61" t="str">
        <f t="shared" si="0"/>
        <v>|cff00ff88蛛丝鞋|r</v>
      </c>
      <c r="U61" t="str">
        <f t="shared" si="1"/>
        <v>类型限制：脚（|cffcccccc通用|r）|n等级品质：180（|cff00ff88精良|r）</v>
      </c>
      <c r="V61" t="str">
        <f t="shared" si="2"/>
        <v>类型限制：脚（|cffcccccc通用|r）|n等级品质：180（|cff00ff88精良|r）|n|n|cffffcc00属性：|r|n+10 全能|n+10 敏捷|n|cff00ccff功能：|r|n+60 移动速度|n+4 生命回复|n+2 魔法回复|n|n|cff888888这件由铁网蛛丝制造的鞋子有些小，但异常的轻便。|r</v>
      </c>
      <c r="W61" t="str">
        <f t="shared" si="3"/>
        <v xml:space="preserve">call SaveInteger(udg_DT,'ITF2',0,$0005000A)_x000D_
call SaveInteger(udg_DT,'ITF2',1,$0007000A)_x000D_
call SaveInteger(udg_DT,'ITF2',2,$00090003)_x000D_
call SaveInteger(udg_DT,'ITF2',3,$00F00004)_x000D_
call SaveInteger(udg_DT,'ITF2',4,$00F10002)_x000D_
</v>
      </c>
    </row>
    <row r="62" spans="1:23">
      <c r="A62" t="s">
        <v>134</v>
      </c>
      <c r="B62" t="s">
        <v>62</v>
      </c>
      <c r="C62" t="s">
        <v>63</v>
      </c>
      <c r="D62" t="s">
        <v>27</v>
      </c>
      <c r="E62">
        <v>180</v>
      </c>
      <c r="F62" t="s">
        <v>156</v>
      </c>
      <c r="G62" t="s">
        <v>316</v>
      </c>
      <c r="M62" t="s">
        <v>322</v>
      </c>
      <c r="N62" t="s">
        <v>321</v>
      </c>
      <c r="O62" t="s">
        <v>323</v>
      </c>
      <c r="S62" t="s">
        <v>360</v>
      </c>
      <c r="T62" t="str">
        <f t="shared" si="0"/>
        <v>|cff00ff88速度之靴|r</v>
      </c>
      <c r="U62" t="str">
        <f t="shared" si="1"/>
        <v>类型限制：脚（|cffcccccc通用|r）|n等级品质：180（|cff00ff88精良|r）</v>
      </c>
      <c r="V62" t="str">
        <f t="shared" si="2"/>
        <v>类型限制：脚（|cffcccccc通用|r）|n等级品质：180（|cff00ff88精良|r）|n|n|cffffcc00属性：|r|n+10 全能|n|cff00ccff功能：|r|n+80 移动速度|n+6 生命回复|n+2 魔法回复|n|n|cff888888艾泽拉斯短跑名将“电池头”的跑鞋，你问我为啥他能跑这么快？|r</v>
      </c>
      <c r="W62" t="str">
        <f t="shared" si="3"/>
        <v xml:space="preserve">call SaveInteger(udg_DT,'ITF3',0,$0005000A)_x000D_
call SaveInteger(udg_DT,'ITF3',1,$00090004)_x000D_
call SaveInteger(udg_DT,'ITF3',2,$00F00006)_x000D_
call SaveInteger(udg_DT,'ITF3',3,$00F10002)_x000D_
</v>
      </c>
    </row>
    <row r="63" spans="1:23">
      <c r="T63" t="str">
        <f t="shared" si="0"/>
        <v/>
      </c>
      <c r="U63" t="str">
        <f t="shared" si="1"/>
        <v>类型限制：（）|n等级品质：（）</v>
      </c>
      <c r="V63" t="str">
        <f t="shared" si="2"/>
        <v>类型限制：（）|n等级品质：（）</v>
      </c>
      <c r="W63" t="str">
        <f t="shared" si="3"/>
        <v/>
      </c>
    </row>
    <row r="64" spans="1:23">
      <c r="A64" t="s">
        <v>219</v>
      </c>
      <c r="B64" t="s">
        <v>212</v>
      </c>
      <c r="C64" t="s">
        <v>227</v>
      </c>
      <c r="D64" t="s">
        <v>27</v>
      </c>
      <c r="E64">
        <v>165</v>
      </c>
      <c r="F64" t="s">
        <v>228</v>
      </c>
      <c r="Q64">
        <v>40</v>
      </c>
      <c r="R64" t="s">
        <v>446</v>
      </c>
      <c r="S64" t="s">
        <v>361</v>
      </c>
      <c r="T64" t="str">
        <f t="shared" si="0"/>
        <v>|cff00ff00魔龙之心|r</v>
      </c>
      <c r="U64" t="str">
        <f t="shared" si="1"/>
        <v>类型限制：饰品（|cffcccccc通用|r）|n等级品质：165（|cff00ff00优秀|r）</v>
      </c>
      <c r="V64" t="str">
        <f>GenerateDetail($U64,$G64:$L64,$M64:$P64,$Q64,$R64,$S64)</f>
        <v>类型限制：饰品（|cffcccccc通用|r）|n等级品质：165（|cff00ff00优秀|r）|n|n|cff00ff00使用：|r|n恢复1200点生命值。|n|cff0088ff冷却时间：|r40秒。|n|n|cff888888取自黑翼之巢中某个魔龙领主的心脏，可以恢复使用者大量生命值。|r</v>
      </c>
      <c r="W64" t="str">
        <f t="shared" si="3"/>
        <v/>
      </c>
    </row>
    <row r="65" spans="1:23">
      <c r="A65" t="s">
        <v>220</v>
      </c>
      <c r="B65" t="s">
        <v>213</v>
      </c>
      <c r="C65" t="s">
        <v>227</v>
      </c>
      <c r="D65" t="s">
        <v>27</v>
      </c>
      <c r="E65">
        <v>165</v>
      </c>
      <c r="F65" t="s">
        <v>228</v>
      </c>
      <c r="Q65">
        <v>40</v>
      </c>
      <c r="R65" t="s">
        <v>460</v>
      </c>
      <c r="S65" t="s">
        <v>362</v>
      </c>
      <c r="T65" t="str">
        <f t="shared" si="0"/>
        <v>|cff00ff00战斗大师的意志|r</v>
      </c>
      <c r="U65" t="str">
        <f t="shared" si="1"/>
        <v>类型限制：饰品（|cffcccccc通用|r）|n等级品质：165（|cff00ff00优秀|r）</v>
      </c>
      <c r="V65" t="str">
        <f t="shared" si="2"/>
        <v>类型限制：饰品（|cffcccccc通用|r）|n等级品质：165（|cff00ff00优秀|r）|n|n|cff00ff00使用：|r|n恢复800点生命值和600点法力值。|n|cff0088ff冷却时间：|r40秒。|n|n|cff888888提炼于刀锋山竞技场中的灵气，能快速恢复健康。|r</v>
      </c>
      <c r="W65" t="str">
        <f t="shared" si="3"/>
        <v/>
      </c>
    </row>
    <row r="66" spans="1:23">
      <c r="A66" t="s">
        <v>221</v>
      </c>
      <c r="B66" t="s">
        <v>214</v>
      </c>
      <c r="C66" t="s">
        <v>227</v>
      </c>
      <c r="D66" t="s">
        <v>27</v>
      </c>
      <c r="E66">
        <v>165</v>
      </c>
      <c r="F66" t="s">
        <v>228</v>
      </c>
      <c r="Q66">
        <v>45</v>
      </c>
      <c r="R66" t="s">
        <v>461</v>
      </c>
      <c r="S66" t="s">
        <v>363</v>
      </c>
      <c r="T66" t="str">
        <f t="shared" si="0"/>
        <v>|cff00ff00探险者的灯笼|r</v>
      </c>
      <c r="U66" t="str">
        <f t="shared" si="1"/>
        <v>类型限制：饰品（|cffcccccc通用|r）|n等级品质：165（|cff00ff00优秀|r）</v>
      </c>
      <c r="V66" t="str">
        <f t="shared" si="2"/>
        <v>类型限制：饰品（|cffcccccc通用|r）|n等级品质：165（|cff00ff00优秀|r）|n|n|cff00ff00使用：|r|n在16秒内恢复2400点生命值和1200点法力值，受到伤害打断效果。|n|cff0088ff冷却时间：|r45秒。|n|n|cff888888孤独探险者们的最爱，能缓慢治愈一切创伤。|r</v>
      </c>
      <c r="W66" t="str">
        <f t="shared" si="3"/>
        <v/>
      </c>
    </row>
    <row r="67" spans="1:23">
      <c r="A67" t="s">
        <v>222</v>
      </c>
      <c r="B67" t="s">
        <v>378</v>
      </c>
      <c r="C67" t="s">
        <v>227</v>
      </c>
      <c r="D67" t="s">
        <v>27</v>
      </c>
      <c r="E67">
        <v>165</v>
      </c>
      <c r="F67" t="s">
        <v>228</v>
      </c>
      <c r="Q67">
        <v>45</v>
      </c>
      <c r="R67" t="s">
        <v>372</v>
      </c>
      <c r="S67" t="s">
        <v>379</v>
      </c>
      <c r="T67" t="str">
        <f t="shared" ref="T67:T73" si="4">GenerateName($B67,$F67)</f>
        <v>|cff00ff00卡德加的烟斗|r</v>
      </c>
      <c r="U67" t="str">
        <f t="shared" ref="U67:U78" si="5">GenerateBrief($C67:$F67)</f>
        <v>类型限制：饰品（|cffcccccc通用|r）|n等级品质：165（|cff00ff00优秀|r）</v>
      </c>
      <c r="V67" t="str">
        <f t="shared" ref="V67:V78" si="6">GenerateDetail($U67,$G67:$L67,$M67:$P67,$Q67,$R67,$S67)</f>
        <v>类型限制：饰品（|cffcccccc通用|r）|n等级品质：165（|cff00ff00优秀|r）|n|n|cff00ff00使用：|r|n为目标提供一个能吸收1600点魔法伤害的护盾，持续15秒。|n|cff0088ff冷却时间：|r45秒。|n|n|cff888888神奇法师卡德加用过的烟斗，拥有强大的魔法抗性。|r</v>
      </c>
      <c r="W67" t="str">
        <f t="shared" ref="W67:W78" si="7">GenerateCode($A67,$G67:$L67,$M67:$P67)</f>
        <v/>
      </c>
    </row>
    <row r="68" spans="1:23">
      <c r="A68" t="s">
        <v>223</v>
      </c>
      <c r="B68" t="s">
        <v>215</v>
      </c>
      <c r="C68" t="s">
        <v>227</v>
      </c>
      <c r="D68" t="s">
        <v>27</v>
      </c>
      <c r="E68">
        <v>165</v>
      </c>
      <c r="F68" t="s">
        <v>228</v>
      </c>
      <c r="Q68">
        <v>50</v>
      </c>
      <c r="R68" t="s">
        <v>373</v>
      </c>
      <c r="S68" t="s">
        <v>364</v>
      </c>
      <c r="T68" t="str">
        <f t="shared" si="4"/>
        <v>|cff00ff00暴风城号角|r</v>
      </c>
      <c r="U68" t="str">
        <f t="shared" si="5"/>
        <v>类型限制：饰品（|cffcccccc通用|r）|n等级品质：165（|cff00ff00优秀|r）</v>
      </c>
      <c r="V68" t="str">
        <f t="shared" si="6"/>
        <v>类型限制：饰品（|cffcccccc通用|r）|n等级品质：165（|cff00ff00优秀|r）|n|n|cff00ff00使用：|r|n恢复周围友军500点生命值并在15秒内提高8点护甲。|n|cff0088ff冷却时间：|r50秒。|n|n|cff888888暴风城中英雄们使用的号角，能有效的强化友军防御力。|r</v>
      </c>
      <c r="W68" t="str">
        <f t="shared" si="7"/>
        <v/>
      </c>
    </row>
    <row r="69" spans="1:23">
      <c r="A69" t="s">
        <v>224</v>
      </c>
      <c r="B69" t="s">
        <v>216</v>
      </c>
      <c r="C69" t="s">
        <v>227</v>
      </c>
      <c r="D69" t="s">
        <v>27</v>
      </c>
      <c r="E69">
        <v>165</v>
      </c>
      <c r="F69" t="s">
        <v>228</v>
      </c>
      <c r="Q69">
        <v>50</v>
      </c>
      <c r="R69" t="s">
        <v>374</v>
      </c>
      <c r="S69" t="s">
        <v>365</v>
      </c>
      <c r="T69" t="str">
        <f t="shared" si="4"/>
        <v>|cff00ff00部落战鼓|r</v>
      </c>
      <c r="U69" t="str">
        <f t="shared" si="5"/>
        <v>类型限制：饰品（|cffcccccc通用|r）|n等级品质：165（|cff00ff00优秀|r）</v>
      </c>
      <c r="V69" t="str">
        <f t="shared" si="6"/>
        <v>类型限制：饰品（|cffcccccc通用|r）|n等级品质：165（|cff00ff00优秀|r）|n|n|cff00ff00使用：|r|n在8秒内提高周围友军200%的移动速度。|n|cff0088ff冷却时间：|r50秒。|n|n|cff888888部落英雄们使用的战鼓，能短时间内加快友军行进速度。|r</v>
      </c>
      <c r="W69" t="str">
        <f t="shared" si="7"/>
        <v/>
      </c>
    </row>
    <row r="70" spans="1:23">
      <c r="A70" t="s">
        <v>225</v>
      </c>
      <c r="B70" t="s">
        <v>217</v>
      </c>
      <c r="C70" t="s">
        <v>227</v>
      </c>
      <c r="D70" t="s">
        <v>27</v>
      </c>
      <c r="E70">
        <v>165</v>
      </c>
      <c r="F70" t="s">
        <v>228</v>
      </c>
      <c r="Q70">
        <v>30</v>
      </c>
      <c r="R70" t="s">
        <v>375</v>
      </c>
      <c r="S70" t="s">
        <v>366</v>
      </c>
      <c r="T70" t="str">
        <f t="shared" si="4"/>
        <v>|cff00ff00奥术圆球|r</v>
      </c>
      <c r="U70" t="str">
        <f t="shared" si="5"/>
        <v>类型限制：饰品（|cffcccccc通用|r）|n等级品质：165（|cff00ff00优秀|r）</v>
      </c>
      <c r="V70" t="str">
        <f t="shared" si="6"/>
        <v>类型限制：饰品（|cffcccccc通用|r）|n等级品质：165（|cff00ff00优秀|r）|n|n|cff00ff00使用：|r|n沉默目标区域内的敌人，持续2秒。|n|cff0088ff冷却时间：|r30秒。|n|n|cff888888由达拉然的高阶魔导师安东尼达斯亲自监制。|r</v>
      </c>
      <c r="W70" t="str">
        <f t="shared" si="7"/>
        <v/>
      </c>
    </row>
    <row r="71" spans="1:23">
      <c r="A71" t="s">
        <v>226</v>
      </c>
      <c r="B71" t="s">
        <v>218</v>
      </c>
      <c r="C71" t="s">
        <v>227</v>
      </c>
      <c r="D71" t="s">
        <v>27</v>
      </c>
      <c r="E71">
        <v>165</v>
      </c>
      <c r="F71" t="s">
        <v>228</v>
      </c>
      <c r="Q71">
        <v>30</v>
      </c>
      <c r="R71" t="s">
        <v>381</v>
      </c>
      <c r="S71" t="s">
        <v>367</v>
      </c>
      <c r="T71" t="str">
        <f t="shared" si="4"/>
        <v>|cff00ff00噬魂戒指|r</v>
      </c>
      <c r="U71" t="str">
        <f t="shared" si="5"/>
        <v>类型限制：饰品（|cffcccccc通用|r）|n等级品质：165（|cff00ff00优秀|r）</v>
      </c>
      <c r="V71" t="str">
        <f t="shared" si="6"/>
        <v>类型限制：饰品（|cffcccccc通用|r）|n等级品质：165（|cff00ff00优秀|r）|n|n|cff00ff00使用：|r|n使目标攻击速度提高75%，但会每秒受到20点伤害，持续15秒。|n|cff0088ff冷却时间：|r30秒。|n|n|cff888888一枚由暮光之锤古加尔制造的疯狂的戒指。|r</v>
      </c>
      <c r="W71" t="str">
        <f t="shared" si="7"/>
        <v/>
      </c>
    </row>
    <row r="72" spans="1:23">
      <c r="A72" t="s">
        <v>376</v>
      </c>
      <c r="B72" t="s">
        <v>384</v>
      </c>
      <c r="C72" t="s">
        <v>227</v>
      </c>
      <c r="D72" t="s">
        <v>27</v>
      </c>
      <c r="E72">
        <v>165</v>
      </c>
      <c r="F72" t="s">
        <v>228</v>
      </c>
      <c r="Q72">
        <v>30</v>
      </c>
      <c r="R72" t="s">
        <v>399</v>
      </c>
      <c r="S72" t="s">
        <v>385</v>
      </c>
      <c r="T72" t="str">
        <f t="shared" si="4"/>
        <v>|cff00ff00精灵王戒指|r</v>
      </c>
      <c r="U72" t="str">
        <f t="shared" si="5"/>
        <v>类型限制：饰品（|cffcccccc通用|r）|n等级品质：165（|cff00ff00优秀|r）</v>
      </c>
      <c r="V72" t="str">
        <f t="shared" si="6"/>
        <v>类型限制：饰品（|cffcccccc通用|r）|n等级品质：165（|cff00ff00优秀|r）|n|n|cff00ff00使用：|r|n盗取目标单位400点魔法值。|n|cff0088ff冷却时间：|r30秒。|n|n|cff888888精灵王子凯尔萨斯的徽记之戒，可以轻易的汲取敌人的能量。|r</v>
      </c>
      <c r="W72" t="str">
        <f t="shared" si="7"/>
        <v/>
      </c>
    </row>
    <row r="73" spans="1:23">
      <c r="A73" t="s">
        <v>377</v>
      </c>
      <c r="B73" t="s">
        <v>382</v>
      </c>
      <c r="C73" t="s">
        <v>227</v>
      </c>
      <c r="D73" t="s">
        <v>27</v>
      </c>
      <c r="E73">
        <v>165</v>
      </c>
      <c r="F73" t="s">
        <v>228</v>
      </c>
      <c r="Q73">
        <v>30</v>
      </c>
      <c r="R73" t="s">
        <v>380</v>
      </c>
      <c r="S73" t="s">
        <v>383</v>
      </c>
      <c r="T73" t="str">
        <f t="shared" si="4"/>
        <v>|cff00ff00吸血鬼的骨灰盒|r</v>
      </c>
      <c r="U73" t="str">
        <f t="shared" si="5"/>
        <v>类型限制：饰品（|cffcccccc通用|r）|n等级品质：165（|cff00ff00优秀|r）</v>
      </c>
      <c r="V73" t="str">
        <f t="shared" si="6"/>
        <v>类型限制：饰品（|cffcccccc通用|r）|n等级品质：165（|cff00ff00优秀|r）|n|n|cff00ff00使用：|r|n暂时获得25%的吸血能力并增加50点的攻击力，持续12秒。|n|cff0088ff冷却时间：|r30秒。|n|n|cff888888里面装着某位吸血鬼伯爵的骨灰，只是看着盒子就能感受到他的可怕。|r</v>
      </c>
      <c r="W73" t="str">
        <f t="shared" si="7"/>
        <v/>
      </c>
    </row>
    <row r="74" spans="1:23">
      <c r="U74" t="str">
        <f>GenerateBrief($C74:$F74)</f>
        <v>类型限制：（）|n等级品质：（）</v>
      </c>
      <c r="V74" t="str">
        <f t="shared" si="6"/>
        <v>类型限制：（）|n等级品质：（）</v>
      </c>
      <c r="W74" t="str">
        <f t="shared" si="7"/>
        <v/>
      </c>
    </row>
    <row r="75" spans="1:23">
      <c r="A75" t="s">
        <v>494</v>
      </c>
      <c r="B75" t="s">
        <v>495</v>
      </c>
      <c r="C75" t="s">
        <v>496</v>
      </c>
      <c r="D75" t="s">
        <v>497</v>
      </c>
      <c r="E75">
        <v>180</v>
      </c>
      <c r="F75" t="s">
        <v>498</v>
      </c>
      <c r="Q75">
        <v>30</v>
      </c>
      <c r="R75" t="s">
        <v>502</v>
      </c>
      <c r="S75" t="s">
        <v>503</v>
      </c>
      <c r="T75" t="s">
        <v>508</v>
      </c>
      <c r="U75" t="str">
        <f t="shared" si="5"/>
        <v>类型限制：工具（|cffcccccc通用|r）|n等级品质：180（|cff00ff88精良|r）</v>
      </c>
      <c r="V75" t="str">
        <f t="shared" si="6"/>
        <v>类型限制：工具（|cffcccccc通用|r）|n等级品质：180（|cff00ff88精良|r）|n|n|cff00ff00使用：|r|n使英雄短距离瞬间移动到指定地点。|n|n|cff00ff00击杀敌方英雄时充能。|r|n|n|cffff8800闪现后旗帜将掉落。|r|n|n|cff0088ff施法距离|r：200-800码。|n|cff0088ff冷却时间：|r30秒。|n|n|cff888888这件物品是如此的虚无，以至于给人一种触碰到就会立马消散的错觉。|r</v>
      </c>
      <c r="W75" t="str">
        <f t="shared" si="7"/>
        <v/>
      </c>
    </row>
    <row r="76" spans="1:23">
      <c r="A76" t="s">
        <v>477</v>
      </c>
      <c r="B76" t="s">
        <v>499</v>
      </c>
      <c r="C76" t="s">
        <v>496</v>
      </c>
      <c r="D76" t="s">
        <v>497</v>
      </c>
      <c r="E76">
        <v>180</v>
      </c>
      <c r="F76" t="s">
        <v>498</v>
      </c>
      <c r="Q76">
        <v>45</v>
      </c>
      <c r="R76" t="s">
        <v>504</v>
      </c>
      <c r="S76" t="s">
        <v>512</v>
      </c>
      <c r="T76" t="s">
        <v>509</v>
      </c>
      <c r="U76" t="str">
        <f t="shared" si="5"/>
        <v>类型限制：工具（|cffcccccc通用|r）|n等级品质：180（|cff00ff88精良|r）</v>
      </c>
      <c r="V76" t="str">
        <f t="shared" si="6"/>
        <v>类型限制：工具（|cffcccccc通用|r）|n等级品质：180（|cff00ff88精良|r）|n|n|cff00ff00使用：|r|n为目标单位恢复600点生命值。如果目标是战场旗帜的持有者，则额外恢复600点生命值。|n|n|cff00ff00击杀敌方英雄时充能。|r|n|n|cff0088ff冷却时间：|r45秒。|n|n|cff888888瓶底刻着一行小字：One man's feeding-bottle is another man's life-potion.|r</v>
      </c>
      <c r="W76" t="str">
        <f t="shared" si="7"/>
        <v/>
      </c>
    </row>
    <row r="77" spans="1:23">
      <c r="A77" t="s">
        <v>478</v>
      </c>
      <c r="B77" t="s">
        <v>500</v>
      </c>
      <c r="C77" t="s">
        <v>496</v>
      </c>
      <c r="D77" t="s">
        <v>497</v>
      </c>
      <c r="E77">
        <v>180</v>
      </c>
      <c r="F77" t="s">
        <v>498</v>
      </c>
      <c r="Q77">
        <v>30</v>
      </c>
      <c r="R77" t="s">
        <v>506</v>
      </c>
      <c r="S77" t="s">
        <v>505</v>
      </c>
      <c r="T77" t="s">
        <v>510</v>
      </c>
      <c r="U77" t="str">
        <f t="shared" si="5"/>
        <v>类型限制：工具（|cffcccccc通用|r）|n等级品质：180（|cff00ff88精良|r）</v>
      </c>
      <c r="V77" t="str">
        <f t="shared" si="6"/>
        <v>类型限制：工具（|cffcccccc通用|r）|n等级品质：180（|cff00ff88精良|r）|n|n|cff00ff00使用：|r|n向目标投掷一张大网，使其无法移动。持续15秒。|n|n|cff00ff00击杀敌方英雄时充能。|r|n|n|cffff8800英雄持续时间减半。|r|n|n|cff0088ff施法距离|r：600码。|n|cff0088ff冷却时间：|r30秒。|n|n|cff888888DESIGNED BY 猪肉爱好者@2020|r</v>
      </c>
      <c r="W77" t="str">
        <f t="shared" si="7"/>
        <v/>
      </c>
    </row>
    <row r="78" spans="1:23">
      <c r="A78" t="s">
        <v>479</v>
      </c>
      <c r="B78" t="s">
        <v>501</v>
      </c>
      <c r="C78" t="s">
        <v>496</v>
      </c>
      <c r="D78" t="s">
        <v>497</v>
      </c>
      <c r="E78">
        <v>180</v>
      </c>
      <c r="F78" t="s">
        <v>498</v>
      </c>
      <c r="Q78">
        <v>45</v>
      </c>
      <c r="R78" t="s">
        <v>507</v>
      </c>
      <c r="S78" t="s">
        <v>505</v>
      </c>
      <c r="T78" t="s">
        <v>511</v>
      </c>
      <c r="U78" t="str">
        <f t="shared" si="5"/>
        <v>类型限制：工具（|cffcccccc通用|r）|n等级品质：180（|cff00ff88精良|r）</v>
      </c>
      <c r="V78" t="str">
        <f t="shared" si="6"/>
        <v>类型限制：工具（|cffcccccc通用|r）|n等级品质：180（|cff00ff88精良|r）|n|n|cff00ff00使用：|r|n放置一个隐形的陷阱来击晕靠近的敌方地面单位，当有敌方的地点单位靠近陷阱的时候会自动激活。陷阱持续150秒。眩晕效果持续8秒。|n|n|cff00ff00击杀敌方英雄时充能。|r|n|n|cff0088ff冷却时间：|r45秒。|n|n|cff888888DESIGNED BY 猪肉爱好者@2020|r</v>
      </c>
      <c r="W78" t="str">
        <f t="shared" si="7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G18"/>
  <sheetViews>
    <sheetView workbookViewId="0">
      <selection activeCell="A19" sqref="A19"/>
    </sheetView>
  </sheetViews>
  <sheetFormatPr defaultRowHeight="13.5"/>
  <cols>
    <col min="1" max="1" width="14" customWidth="1"/>
  </cols>
  <sheetData>
    <row r="1" spans="1:7">
      <c r="A1" s="3" t="s">
        <v>417</v>
      </c>
      <c r="B1" t="s">
        <v>444</v>
      </c>
      <c r="C1">
        <v>20</v>
      </c>
      <c r="E1" s="3" t="s">
        <v>434</v>
      </c>
      <c r="F1" t="s">
        <v>444</v>
      </c>
      <c r="G1">
        <v>10</v>
      </c>
    </row>
    <row r="2" spans="1:7">
      <c r="A2" s="5" t="s">
        <v>70</v>
      </c>
      <c r="B2" s="2" t="s">
        <v>415</v>
      </c>
      <c r="C2" s="4" t="s">
        <v>416</v>
      </c>
      <c r="E2" s="5" t="s">
        <v>70</v>
      </c>
      <c r="F2" s="2" t="s">
        <v>415</v>
      </c>
      <c r="G2" s="4" t="s">
        <v>416</v>
      </c>
    </row>
    <row r="3" spans="1:7">
      <c r="A3" t="s">
        <v>418</v>
      </c>
      <c r="B3">
        <v>1</v>
      </c>
      <c r="C3">
        <v>50</v>
      </c>
      <c r="E3" t="s">
        <v>435</v>
      </c>
      <c r="F3">
        <v>1</v>
      </c>
      <c r="G3">
        <v>100</v>
      </c>
    </row>
    <row r="4" spans="1:7">
      <c r="A4" t="s">
        <v>419</v>
      </c>
      <c r="B4">
        <v>1</v>
      </c>
      <c r="C4">
        <v>50</v>
      </c>
      <c r="E4" t="s">
        <v>436</v>
      </c>
      <c r="F4">
        <v>2</v>
      </c>
      <c r="G4">
        <v>160</v>
      </c>
    </row>
    <row r="5" spans="1:7">
      <c r="A5" t="s">
        <v>420</v>
      </c>
      <c r="B5">
        <v>1</v>
      </c>
      <c r="C5">
        <v>60</v>
      </c>
      <c r="E5" t="s">
        <v>437</v>
      </c>
      <c r="F5">
        <v>3</v>
      </c>
      <c r="G5">
        <v>240</v>
      </c>
    </row>
    <row r="6" spans="1:7">
      <c r="A6" t="s">
        <v>421</v>
      </c>
      <c r="B6">
        <v>2</v>
      </c>
      <c r="C6">
        <v>80</v>
      </c>
      <c r="E6" t="s">
        <v>438</v>
      </c>
      <c r="F6">
        <v>4</v>
      </c>
      <c r="G6">
        <v>360</v>
      </c>
    </row>
    <row r="7" spans="1:7">
      <c r="A7" t="s">
        <v>422</v>
      </c>
      <c r="B7">
        <v>2</v>
      </c>
      <c r="C7">
        <v>100</v>
      </c>
      <c r="E7" t="s">
        <v>440</v>
      </c>
      <c r="F7">
        <v>5</v>
      </c>
      <c r="G7">
        <v>500</v>
      </c>
    </row>
    <row r="8" spans="1:7">
      <c r="A8" t="s">
        <v>423</v>
      </c>
      <c r="B8">
        <v>3</v>
      </c>
      <c r="C8">
        <v>120</v>
      </c>
      <c r="E8" t="s">
        <v>439</v>
      </c>
      <c r="F8">
        <v>6</v>
      </c>
      <c r="G8">
        <v>640</v>
      </c>
    </row>
    <row r="9" spans="1:7">
      <c r="A9" t="s">
        <v>424</v>
      </c>
      <c r="B9">
        <v>4</v>
      </c>
      <c r="C9">
        <v>150</v>
      </c>
      <c r="E9" t="s">
        <v>443</v>
      </c>
      <c r="F9">
        <v>7</v>
      </c>
      <c r="G9">
        <v>800</v>
      </c>
    </row>
    <row r="10" spans="1:7">
      <c r="A10" t="s">
        <v>425</v>
      </c>
      <c r="B10">
        <v>4</v>
      </c>
      <c r="C10">
        <v>160</v>
      </c>
      <c r="E10" t="s">
        <v>441</v>
      </c>
      <c r="F10">
        <v>8</v>
      </c>
      <c r="G10">
        <v>1000</v>
      </c>
    </row>
    <row r="11" spans="1:7">
      <c r="A11" t="s">
        <v>430</v>
      </c>
      <c r="B11">
        <v>5</v>
      </c>
      <c r="C11">
        <v>200</v>
      </c>
      <c r="E11" t="s">
        <v>442</v>
      </c>
      <c r="F11">
        <v>8</v>
      </c>
      <c r="G11">
        <v>1200</v>
      </c>
    </row>
    <row r="12" spans="1:7">
      <c r="A12" t="s">
        <v>431</v>
      </c>
      <c r="B12">
        <v>5</v>
      </c>
      <c r="C12">
        <v>240</v>
      </c>
      <c r="E12" t="s">
        <v>445</v>
      </c>
      <c r="F12">
        <v>9</v>
      </c>
      <c r="G12">
        <v>1600</v>
      </c>
    </row>
    <row r="13" spans="1:7">
      <c r="A13" t="s">
        <v>426</v>
      </c>
      <c r="B13">
        <v>6</v>
      </c>
      <c r="C13">
        <v>300</v>
      </c>
    </row>
    <row r="14" spans="1:7">
      <c r="A14" t="s">
        <v>427</v>
      </c>
      <c r="B14">
        <v>7</v>
      </c>
      <c r="C14">
        <v>400</v>
      </c>
    </row>
    <row r="15" spans="1:7">
      <c r="A15" t="s">
        <v>432</v>
      </c>
      <c r="B15">
        <v>7</v>
      </c>
      <c r="C15">
        <v>450</v>
      </c>
    </row>
    <row r="16" spans="1:7">
      <c r="A16" t="s">
        <v>433</v>
      </c>
      <c r="B16">
        <v>8</v>
      </c>
      <c r="C16">
        <v>500</v>
      </c>
    </row>
    <row r="17" spans="1:3">
      <c r="A17" t="s">
        <v>428</v>
      </c>
      <c r="B17">
        <v>8</v>
      </c>
      <c r="C17">
        <v>600</v>
      </c>
    </row>
    <row r="18" spans="1:3">
      <c r="A18" t="s">
        <v>429</v>
      </c>
      <c r="B18">
        <v>9</v>
      </c>
      <c r="C18">
        <v>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C17"/>
  <sheetViews>
    <sheetView workbookViewId="0">
      <selection activeCell="A18" sqref="A18"/>
    </sheetView>
  </sheetViews>
  <sheetFormatPr defaultRowHeight="13.5"/>
  <cols>
    <col min="2" max="2" width="22.5" customWidth="1"/>
    <col min="3" max="3" width="32" customWidth="1"/>
  </cols>
  <sheetData>
    <row r="1" spans="1:3">
      <c r="A1" t="s">
        <v>463</v>
      </c>
      <c r="B1" t="s">
        <v>464</v>
      </c>
      <c r="C1" t="s">
        <v>465</v>
      </c>
    </row>
    <row r="2" spans="1:3">
      <c r="A2" t="s">
        <v>466</v>
      </c>
      <c r="B2" t="s">
        <v>480</v>
      </c>
    </row>
    <row r="3" spans="1:3">
      <c r="A3" t="s">
        <v>467</v>
      </c>
      <c r="B3" t="s">
        <v>481</v>
      </c>
    </row>
    <row r="4" spans="1:3">
      <c r="A4" t="s">
        <v>468</v>
      </c>
      <c r="B4" t="s">
        <v>482</v>
      </c>
    </row>
    <row r="5" spans="1:3">
      <c r="A5" t="s">
        <v>469</v>
      </c>
      <c r="B5" t="s">
        <v>483</v>
      </c>
    </row>
    <row r="7" spans="1:3">
      <c r="A7" t="s">
        <v>470</v>
      </c>
      <c r="B7" t="s">
        <v>484</v>
      </c>
    </row>
    <row r="8" spans="1:3">
      <c r="A8" t="s">
        <v>471</v>
      </c>
      <c r="B8" t="s">
        <v>485</v>
      </c>
    </row>
    <row r="9" spans="1:3">
      <c r="A9" t="s">
        <v>472</v>
      </c>
      <c r="B9" t="s">
        <v>486</v>
      </c>
    </row>
    <row r="10" spans="1:3">
      <c r="A10" t="s">
        <v>473</v>
      </c>
      <c r="B10" t="s">
        <v>487</v>
      </c>
    </row>
    <row r="11" spans="1:3">
      <c r="A11" t="s">
        <v>474</v>
      </c>
      <c r="B11" t="s">
        <v>488</v>
      </c>
    </row>
    <row r="12" spans="1:3">
      <c r="A12" t="s">
        <v>475</v>
      </c>
      <c r="B12" t="s">
        <v>489</v>
      </c>
    </row>
    <row r="14" spans="1:3">
      <c r="A14" t="s">
        <v>476</v>
      </c>
      <c r="B14" t="s">
        <v>491</v>
      </c>
    </row>
    <row r="15" spans="1:3">
      <c r="A15" t="s">
        <v>477</v>
      </c>
      <c r="B15" t="s">
        <v>490</v>
      </c>
    </row>
    <row r="16" spans="1:3">
      <c r="A16" t="s">
        <v>478</v>
      </c>
      <c r="B16" t="s">
        <v>493</v>
      </c>
    </row>
    <row r="17" spans="1:2">
      <c r="A17" t="s">
        <v>479</v>
      </c>
      <c r="B17" t="s">
        <v>492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基础字符串</vt:lpstr>
      <vt:lpstr>测试装备列表</vt:lpstr>
      <vt:lpstr>正式装备列表</vt:lpstr>
      <vt:lpstr>合成公式列表</vt:lpstr>
      <vt:lpstr>材料列表</vt:lpstr>
      <vt:lpstr>消耗品列表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Louis</cp:lastModifiedBy>
  <dcterms:created xsi:type="dcterms:W3CDTF">2006-09-13T11:21:51Z</dcterms:created>
  <dcterms:modified xsi:type="dcterms:W3CDTF">2023-08-13T02:55:29Z</dcterms:modified>
</cp:coreProperties>
</file>